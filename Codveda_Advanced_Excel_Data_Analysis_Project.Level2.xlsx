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E49421F81A692AA4/Documents/"/>
    </mc:Choice>
  </mc:AlternateContent>
  <xr:revisionPtr revIDLastSave="0" documentId="8_{C9D02845-D047-4777-B6A7-5691ABFAA3B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aw_Data" sheetId="1" r:id="rId1"/>
    <sheet name="Clean_Data" sheetId="2" r:id="rId2"/>
    <sheet name="Churn_by_State" sheetId="3" r:id="rId3"/>
    <sheet name="Usage_by_Plan" sheetId="4" r:id="rId4"/>
    <sheet name="Support_vs_Churn" sheetId="5" r:id="rId5"/>
    <sheet name="Statistics" sheetId="6" r:id="rId6"/>
    <sheet name="Povit Table" sheetId="7" r:id="rId7"/>
  </sheets>
  <calcPr calcId="191028"/>
  <pivotCaches>
    <pivotCache cacheId="4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B3" i="6"/>
  <c r="B2" i="6"/>
  <c r="B3" i="5"/>
  <c r="B2" i="5"/>
  <c r="C3" i="5"/>
  <c r="C4" i="5"/>
  <c r="C5" i="5"/>
  <c r="C6" i="5"/>
  <c r="C7" i="5"/>
  <c r="C8" i="5"/>
  <c r="C9" i="5"/>
  <c r="C10" i="5"/>
  <c r="C2" i="5"/>
  <c r="B4" i="5"/>
  <c r="B5" i="5"/>
  <c r="B6" i="5"/>
  <c r="B7" i="5"/>
  <c r="B8" i="5"/>
  <c r="B9" i="5"/>
  <c r="B10" i="5"/>
  <c r="B3" i="4"/>
  <c r="B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U7" i="2"/>
  <c r="U2" i="2"/>
</calcChain>
</file>

<file path=xl/sharedStrings.xml><?xml version="1.0" encoding="utf-8"?>
<sst xmlns="http://schemas.openxmlformats.org/spreadsheetml/2006/main" count="4842" uniqueCount="88">
  <si>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</si>
  <si>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</si>
  <si>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</si>
  <si>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</si>
  <si>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</si>
  <si>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</si>
  <si>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</si>
  <si>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</si>
  <si>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</si>
  <si>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</si>
  <si>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</si>
  <si>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</si>
  <si>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</si>
  <si>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</si>
  <si>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</si>
  <si>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</si>
  <si>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</si>
  <si>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</si>
  <si>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</si>
  <si>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</si>
  <si>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LA</t>
  </si>
  <si>
    <t>No</t>
  </si>
  <si>
    <t>IN</t>
  </si>
  <si>
    <t>NY</t>
  </si>
  <si>
    <t>SC</t>
  </si>
  <si>
    <t>HI</t>
  </si>
  <si>
    <t>AK</t>
  </si>
  <si>
    <t>Yes</t>
  </si>
  <si>
    <t>MI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</si>
  <si>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</si>
  <si>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</si>
  <si>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</si>
  <si>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</si>
  <si>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</si>
  <si>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</si>
  <si>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</si>
  <si>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</si>
  <si>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</si>
  <si>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</si>
  <si>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</si>
  <si>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</si>
  <si>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</si>
  <si>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</si>
  <si>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</si>
  <si>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</si>
  <si>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</si>
  <si>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</si>
  <si>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</si>
  <si>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</si>
  <si>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</si>
  <si>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</si>
  <si>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</si>
  <si>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</si>
  <si>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</si>
  <si>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</si>
  <si>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</si>
  <si>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</si>
  <si>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</si>
  <si>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</si>
  <si>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</si>
  <si>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</si>
  <si>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</si>
  <si>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</si>
  <si>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</si>
  <si>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</si>
  <si>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</si>
  <si>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WV</t>
  </si>
  <si>
    <t>PA</t>
  </si>
  <si>
    <t>ND</t>
  </si>
  <si>
    <t>AR</t>
  </si>
  <si>
    <t>TN</t>
  </si>
  <si>
    <t>IA</t>
  </si>
  <si>
    <t>GA</t>
  </si>
  <si>
    <t>Clean State</t>
  </si>
  <si>
    <t>Metric</t>
  </si>
  <si>
    <t>Value</t>
  </si>
  <si>
    <t>Average Day Minutes</t>
  </si>
  <si>
    <t>Max Day Minutes</t>
  </si>
  <si>
    <t>Min Day Minutes</t>
  </si>
  <si>
    <t>Count</t>
  </si>
  <si>
    <t>Count of State</t>
  </si>
  <si>
    <t>Column Labels</t>
  </si>
  <si>
    <t>Row Labels</t>
  </si>
  <si>
    <t>FALSE</t>
  </si>
  <si>
    <t>TRUE</t>
  </si>
  <si>
    <t>Grand Total</t>
  </si>
  <si>
    <t>Sum of Total day minutes</t>
  </si>
  <si>
    <t>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</si>
</sst>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[Codveda_Advanced_Excel_Data_Analysis_Project.Level2.xlsx]Povit Table!PivotTable1</c:name>
    <c:fmtId val="1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'Povit Table'!$B$3:$B$4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'Povit Table'!$A$5:$A$56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'Povit Table'!$B$5:$B$56</c:f>
              <c:numCache>
                <c:formatCode>General</c:formatCode>
                <c:ptCount val="51"/>
                <c:pt idx="0">
                  <c:v>9</c:v>
                </c:pt>
                <c:pt idx="1">
                  <c:v>13</c:v>
                </c:pt>
                <c:pt idx="2">
                  <c:v>8</c:v>
                </c:pt>
                <c:pt idx="3">
                  <c:v>18</c:v>
                </c:pt>
                <c:pt idx="4">
                  <c:v>6</c:v>
                </c:pt>
                <c:pt idx="5">
                  <c:v>5</c:v>
                </c:pt>
                <c:pt idx="6">
                  <c:v>14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8</c:v>
                </c:pt>
                <c:pt idx="12">
                  <c:v>6</c:v>
                </c:pt>
                <c:pt idx="13">
                  <c:v>13</c:v>
                </c:pt>
                <c:pt idx="14">
                  <c:v>12</c:v>
                </c:pt>
                <c:pt idx="15">
                  <c:v>14</c:v>
                </c:pt>
                <c:pt idx="16">
                  <c:v>15</c:v>
                </c:pt>
                <c:pt idx="17">
                  <c:v>14</c:v>
                </c:pt>
                <c:pt idx="18">
                  <c:v>15</c:v>
                </c:pt>
                <c:pt idx="19">
                  <c:v>10</c:v>
                </c:pt>
                <c:pt idx="20">
                  <c:v>7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  <c:pt idx="24">
                  <c:v>10</c:v>
                </c:pt>
                <c:pt idx="25">
                  <c:v>14</c:v>
                </c:pt>
                <c:pt idx="26">
                  <c:v>11</c:v>
                </c:pt>
                <c:pt idx="27">
                  <c:v>10</c:v>
                </c:pt>
                <c:pt idx="28">
                  <c:v>16</c:v>
                </c:pt>
                <c:pt idx="29">
                  <c:v>15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4</c:v>
                </c:pt>
                <c:pt idx="34">
                  <c:v>12</c:v>
                </c:pt>
                <c:pt idx="35">
                  <c:v>12</c:v>
                </c:pt>
                <c:pt idx="36">
                  <c:v>7</c:v>
                </c:pt>
                <c:pt idx="37">
                  <c:v>12</c:v>
                </c:pt>
                <c:pt idx="38">
                  <c:v>9</c:v>
                </c:pt>
                <c:pt idx="39">
                  <c:v>14</c:v>
                </c:pt>
                <c:pt idx="40">
                  <c:v>8</c:v>
                </c:pt>
                <c:pt idx="41">
                  <c:v>9</c:v>
                </c:pt>
                <c:pt idx="42">
                  <c:v>12</c:v>
                </c:pt>
                <c:pt idx="43">
                  <c:v>15</c:v>
                </c:pt>
                <c:pt idx="44">
                  <c:v>10</c:v>
                </c:pt>
                <c:pt idx="45">
                  <c:v>9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15</c:v>
                </c:pt>
                <c:pt idx="5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1-4435-BDD7-AEDA98A69865}"/>
            </c:ext>
          </c:extLst>
        </c:ser>
        <c:ser>
          <c:idx val="1"/>
          <c:order val="1"/>
          <c:tx>
            <c:strRef>
              <c:f>'Povit Table'!$C$3:$C$4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'Povit Table'!$A$5:$A$56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'Povit Table'!$C$5:$C$56</c:f>
              <c:numCache>
                <c:formatCode>General</c:formatCode>
                <c:ptCount val="51"/>
                <c:pt idx="1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6">
                  <c:v>2</c:v>
                </c:pt>
                <c:pt idx="37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21-4435-BDD7-AEDA98A69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504719"/>
        <c:axId val="1855488879"/>
      </c:barChart>
      <c:catAx>
        <c:axId val="185550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88879"/>
        <c:crosses val="autoZero"/>
        <c:auto val="1"/>
        <c:lblAlgn val="ctr"/>
        <c:lblOffset val="100"/>
        <c:noMultiLvlLbl val="0"/>
      </c:catAx>
      <c:valAx>
        <c:axId val="185548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[Codveda_Advanced_Excel_Data_Analysis_Project.Level2.xlsx]Povit Table!PivotTable2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'Povit Table'!$G$5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'Povit Table'!$F$6:$F$8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'Povit Table'!$G$6:$G$8</c:f>
              <c:numCache>
                <c:formatCode>General</c:formatCode>
                <c:ptCount val="2"/>
                <c:pt idx="0">
                  <c:v>110592.70000000006</c:v>
                </c:pt>
                <c:pt idx="1">
                  <c:v>10099.699999999999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3-4178-B1F5-9E3566283F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55484079"/>
        <c:axId val="1855491759"/>
      </c:barChart>
      <c:catAx>
        <c:axId val="185548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91759"/>
        <c:crosses val="autoZero"/>
        <c:auto val="1"/>
        <c:lblAlgn val="ctr"/>
        <c:lblOffset val="100"/>
        <c:noMultiLvlLbl val="0"/>
      </c:catAx>
      <c:valAx>
        <c:axId val="185549175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55484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[Codveda_Advanced_Excel_Data_Analysis_Project.Level2.xlsx]Povit Table!PivotTable3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'Povit Table'!$J$5:$J$6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'Povit Table'!$I$7:$I$16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'Povit Table'!$J$7:$J$16</c:f>
              <c:numCache>
                <c:formatCode>General</c:formatCode>
                <c:ptCount val="9"/>
                <c:pt idx="0">
                  <c:v>129</c:v>
                </c:pt>
                <c:pt idx="1">
                  <c:v>213</c:v>
                </c:pt>
                <c:pt idx="2">
                  <c:v>126</c:v>
                </c:pt>
                <c:pt idx="3">
                  <c:v>74</c:v>
                </c:pt>
                <c:pt idx="4">
                  <c:v>21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8-4F2B-BFAB-79D28D260A44}"/>
            </c:ext>
          </c:extLst>
        </c:ser>
        <c:ser>
          <c:idx val="1"/>
          <c:order val="1"/>
          <c:tx>
            <c:strRef>
              <c:f>'Povit Table'!$K$5:$K$6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'Povit Table'!$I$7:$I$16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'Povit Table'!$K$7:$K$16</c:f>
              <c:numCache>
                <c:formatCode>General</c:formatCode>
                <c:ptCount val="9"/>
                <c:pt idx="0">
                  <c:v>13</c:v>
                </c:pt>
                <c:pt idx="1">
                  <c:v>23</c:v>
                </c:pt>
                <c:pt idx="2">
                  <c:v>25</c:v>
                </c:pt>
                <c:pt idx="3">
                  <c:v>7</c:v>
                </c:pt>
                <c:pt idx="4">
                  <c:v>12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8-4F2B-BFAB-79D28D260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4479407"/>
        <c:axId val="1854479887"/>
      </c:barChart>
      <c:catAx>
        <c:axId val="185447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79887"/>
        <c:crosses val="autoZero"/>
        <c:auto val="1"/>
        <c:lblAlgn val="ctr"/>
        <c:lblOffset val="100"/>
        <c:noMultiLvlLbl val="0"/>
      </c:catAx>
      <c:valAx>
        <c:axId val="18544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7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16</xdr:row>
      <xdr:rowOff>140970</xdr:rowOff>
    </xdr:from>
    <xdr:to>
      <xdr:col>9</xdr:col>
      <xdr:colOff>342900</xdr:colOff>
      <xdr:row>31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10574-FC7A-4349-2F6C-FEC863D59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32</xdr:row>
      <xdr:rowOff>179070</xdr:rowOff>
    </xdr:from>
    <xdr:to>
      <xdr:col>9</xdr:col>
      <xdr:colOff>518160</xdr:colOff>
      <xdr:row>47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D3C4FD-F0CF-EDFF-38DA-286156ED1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49</xdr:row>
      <xdr:rowOff>11430</xdr:rowOff>
    </xdr:from>
    <xdr:to>
      <xdr:col>9</xdr:col>
      <xdr:colOff>441960</xdr:colOff>
      <xdr:row>64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D7A42E-0DD3-2E9D-9862-E425B1665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kumar" refreshedDate="46102.535366898148" createdVersion="8" refreshedVersion="8" minRefreshableVersion="3" recordCount="667" xr:uid="{89A3E8AA-2401-4E88-9BD6-1E8D00EE910C}">
  <cacheSource type="worksheet">
    <worksheetSource ref="A1:T668" sheet="Raw_Data"/>
  </cacheSource>
  <cacheFields count="20">
    <cacheField name="State" numFmtId="0">
      <sharedItems count="51">
        <s v="LA"/>
        <s v="IN"/>
        <s v="NY"/>
        <s v="SC"/>
        <s v="HI"/>
        <s v="AK"/>
        <s v="MI"/>
        <s v="ID"/>
        <s v="VA"/>
        <s v="WI"/>
        <s v="MN"/>
        <s v="VT"/>
        <s v="MT"/>
        <s v="MA"/>
        <s v="KY"/>
        <s v="CO"/>
        <s v="AZ"/>
        <s v="CA"/>
        <s v="WA"/>
        <s v="NE"/>
        <s v="OH"/>
        <s v="MO"/>
        <s v="AL"/>
        <s v="NH"/>
        <s v="NM"/>
        <s v="OR"/>
        <s v="TX"/>
        <s v="MS"/>
        <s v="WY"/>
        <s v="FL"/>
        <s v="KS"/>
        <s v="NC"/>
        <s v="SD"/>
        <s v="OK"/>
        <s v="CT"/>
        <s v="RI"/>
        <s v="DE"/>
        <s v="UT"/>
        <s v="NV"/>
        <s v="DC"/>
        <s v="ME"/>
        <s v="IL"/>
        <s v="NJ"/>
        <s v="MD"/>
        <s v="WV"/>
        <s v="PA"/>
        <s v="ND"/>
        <s v="AR"/>
        <s v="TN"/>
        <s v="IA"/>
        <s v="GA"/>
      </sharedItems>
    </cacheField>
    <cacheField name="Account length" numFmtId="0">
      <sharedItems containsSemiMixedTypes="0" containsString="0" containsNumber="1" containsInteger="1" minValue="1" maxValue="232"/>
    </cacheField>
    <cacheField name="Area code" numFmtId="0">
      <sharedItems containsSemiMixedTypes="0" containsString="0" containsNumber="1" containsInteger="1" minValue="408" maxValue="510" count="3">
        <n v="408"/>
        <n v="415"/>
        <n v="510"/>
      </sharedItems>
    </cacheField>
    <cacheField name="International plan" numFmtId="0">
      <sharedItems count="2">
        <s v="No"/>
        <s v="Yes"/>
      </sharedItems>
    </cacheField>
    <cacheField name="Voice mail plan" numFmtId="0">
      <sharedItems/>
    </cacheField>
    <cacheField name="Number vmail messages" numFmtId="0">
      <sharedItems containsSemiMixedTypes="0" containsString="0" containsNumber="1" containsInteger="1" minValue="0" maxValue="51"/>
    </cacheField>
    <cacheField name="Total day minutes" numFmtId="0">
      <sharedItems containsSemiMixedTypes="0" containsString="0" containsNumber="1" minValue="25.9" maxValue="334.3"/>
    </cacheField>
    <cacheField name="Total day calls" numFmtId="0">
      <sharedItems containsSemiMixedTypes="0" containsString="0" containsNumber="1" containsInteger="1" minValue="30" maxValue="165"/>
    </cacheField>
    <cacheField name="Total day charge" numFmtId="0">
      <sharedItems containsSemiMixedTypes="0" containsString="0" containsNumber="1" minValue="4.4000000000000004" maxValue="56.83"/>
    </cacheField>
    <cacheField name="Total eve minutes" numFmtId="0">
      <sharedItems containsSemiMixedTypes="0" containsString="0" containsNumber="1" minValue="48.1" maxValue="361.8"/>
    </cacheField>
    <cacheField name="Total eve calls" numFmtId="0">
      <sharedItems containsSemiMixedTypes="0" containsString="0" containsNumber="1" containsInteger="1" minValue="37" maxValue="168"/>
    </cacheField>
    <cacheField name="Total eve charge" numFmtId="0">
      <sharedItems containsSemiMixedTypes="0" containsString="0" containsNumber="1" minValue="4.09" maxValue="30.75"/>
    </cacheField>
    <cacheField name="Total night minutes" numFmtId="0">
      <sharedItems containsSemiMixedTypes="0" containsString="0" containsNumber="1" minValue="23.2" maxValue="367.7"/>
    </cacheField>
    <cacheField name="Total night calls" numFmtId="0">
      <sharedItems containsSemiMixedTypes="0" containsString="0" containsNumber="1" containsInteger="1" minValue="42" maxValue="175"/>
    </cacheField>
    <cacheField name="Total night charge" numFmtId="0">
      <sharedItems containsSemiMixedTypes="0" containsString="0" containsNumber="1" minValue="1.04" maxValue="16.55"/>
    </cacheField>
    <cacheField name="Total intl minutes" numFmtId="0">
      <sharedItems containsSemiMixedTypes="0" containsString="0" containsNumber="1" minValue="0" maxValue="18.3"/>
    </cacheField>
    <cacheField name="Total intl calls" numFmtId="0">
      <sharedItems containsSemiMixedTypes="0" containsString="0" containsNumber="1" containsInteger="1" minValue="0" maxValue="18"/>
    </cacheField>
    <cacheField name="Total intl charge" numFmtId="0">
      <sharedItems containsSemiMixedTypes="0" containsString="0" containsNumber="1" minValue="0" maxValue="4.9400000000000004"/>
    </cacheField>
    <cacheField name="Customer service calls" numFmtId="0">
      <sharedItems containsSemiMixedTypes="0" containsString="0" containsNumber="1" containsInteger="1" minValue="0" maxValue="8" count="9">
        <n v="1"/>
        <n v="4"/>
        <n v="2"/>
        <n v="0"/>
        <n v="3"/>
        <n v="5"/>
        <n v="6"/>
        <n v="8"/>
        <n v="7"/>
      </sharedItems>
    </cacheField>
    <cacheField name="Churn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">
  <r>
    <x v="0"/>
    <n v="117"/>
    <x v="0"/>
    <x v="0"/>
    <s v="No"/>
    <n v="0"/>
    <n v="184.5"/>
    <n v="97"/>
    <n v="31.37"/>
    <n v="351.6"/>
    <n v="80"/>
    <n v="29.89"/>
    <n v="215.8"/>
    <n v="90"/>
    <n v="9.7100000000000009"/>
    <n v="8.6999999999999993"/>
    <n v="4"/>
    <n v="2.35"/>
    <x v="0"/>
    <x v="0"/>
  </r>
  <r>
    <x v="1"/>
    <n v="65"/>
    <x v="1"/>
    <x v="0"/>
    <s v="No"/>
    <n v="0"/>
    <n v="129.1"/>
    <n v="137"/>
    <n v="21.95"/>
    <n v="228.5"/>
    <n v="83"/>
    <n v="19.420000000000002"/>
    <n v="208.8"/>
    <n v="111"/>
    <n v="9.4"/>
    <n v="12.7"/>
    <n v="6"/>
    <n v="3.43"/>
    <x v="1"/>
    <x v="1"/>
  </r>
  <r>
    <x v="2"/>
    <n v="161"/>
    <x v="1"/>
    <x v="0"/>
    <s v="No"/>
    <n v="0"/>
    <n v="332.9"/>
    <n v="67"/>
    <n v="56.59"/>
    <n v="317.8"/>
    <n v="97"/>
    <n v="27.01"/>
    <n v="160.6"/>
    <n v="128"/>
    <n v="7.23"/>
    <n v="5.4"/>
    <n v="9"/>
    <n v="1.46"/>
    <x v="1"/>
    <x v="1"/>
  </r>
  <r>
    <x v="3"/>
    <n v="111"/>
    <x v="1"/>
    <x v="0"/>
    <s v="No"/>
    <n v="0"/>
    <n v="110.4"/>
    <n v="103"/>
    <n v="18.77"/>
    <n v="137.30000000000001"/>
    <n v="102"/>
    <n v="11.67"/>
    <n v="189.6"/>
    <n v="105"/>
    <n v="8.5299999999999994"/>
    <n v="7.7"/>
    <n v="6"/>
    <n v="2.08"/>
    <x v="2"/>
    <x v="0"/>
  </r>
  <r>
    <x v="4"/>
    <n v="49"/>
    <x v="2"/>
    <x v="0"/>
    <s v="No"/>
    <n v="0"/>
    <n v="119.3"/>
    <n v="117"/>
    <n v="20.28"/>
    <n v="215.1"/>
    <n v="109"/>
    <n v="18.28"/>
    <n v="178.7"/>
    <n v="90"/>
    <n v="8.0399999999999991"/>
    <n v="11.1"/>
    <n v="1"/>
    <n v="3"/>
    <x v="0"/>
    <x v="0"/>
  </r>
  <r>
    <x v="5"/>
    <n v="36"/>
    <x v="0"/>
    <x v="0"/>
    <s v="Yes"/>
    <n v="30"/>
    <n v="146.30000000000001"/>
    <n v="128"/>
    <n v="24.87"/>
    <n v="162.5"/>
    <n v="80"/>
    <n v="13.81"/>
    <n v="129.30000000000001"/>
    <n v="109"/>
    <n v="5.82"/>
    <n v="14.5"/>
    <n v="6"/>
    <n v="3.92"/>
    <x v="3"/>
    <x v="0"/>
  </r>
  <r>
    <x v="6"/>
    <n v="65"/>
    <x v="1"/>
    <x v="0"/>
    <s v="No"/>
    <n v="0"/>
    <n v="211.3"/>
    <n v="120"/>
    <n v="35.92"/>
    <n v="162.6"/>
    <n v="122"/>
    <n v="13.82"/>
    <n v="134.69999999999999"/>
    <n v="118"/>
    <n v="6.06"/>
    <n v="13.2"/>
    <n v="5"/>
    <n v="3.56"/>
    <x v="4"/>
    <x v="0"/>
  </r>
  <r>
    <x v="7"/>
    <n v="119"/>
    <x v="1"/>
    <x v="0"/>
    <s v="No"/>
    <n v="0"/>
    <n v="159.1"/>
    <n v="114"/>
    <n v="27.05"/>
    <n v="231.3"/>
    <n v="117"/>
    <n v="19.66"/>
    <n v="143.19999999999999"/>
    <n v="91"/>
    <n v="6.44"/>
    <n v="8.8000000000000007"/>
    <n v="3"/>
    <n v="2.38"/>
    <x v="5"/>
    <x v="1"/>
  </r>
  <r>
    <x v="8"/>
    <n v="10"/>
    <x v="0"/>
    <x v="0"/>
    <s v="No"/>
    <n v="0"/>
    <n v="186.1"/>
    <n v="112"/>
    <n v="31.64"/>
    <n v="190.2"/>
    <n v="66"/>
    <n v="16.170000000000002"/>
    <n v="282.8"/>
    <n v="57"/>
    <n v="12.73"/>
    <n v="11.4"/>
    <n v="6"/>
    <n v="3.08"/>
    <x v="2"/>
    <x v="0"/>
  </r>
  <r>
    <x v="9"/>
    <n v="68"/>
    <x v="1"/>
    <x v="0"/>
    <s v="No"/>
    <n v="0"/>
    <n v="148.80000000000001"/>
    <n v="70"/>
    <n v="25.3"/>
    <n v="246.5"/>
    <n v="164"/>
    <n v="20.95"/>
    <n v="129.80000000000001"/>
    <n v="103"/>
    <n v="5.84"/>
    <n v="12.1"/>
    <n v="3"/>
    <n v="3.27"/>
    <x v="4"/>
    <x v="0"/>
  </r>
  <r>
    <x v="10"/>
    <n v="74"/>
    <x v="2"/>
    <x v="0"/>
    <s v="Yes"/>
    <n v="33"/>
    <n v="193.7"/>
    <n v="91"/>
    <n v="32.93"/>
    <n v="246.1"/>
    <n v="96"/>
    <n v="20.92"/>
    <n v="138"/>
    <n v="92"/>
    <n v="6.21"/>
    <n v="14.6"/>
    <n v="3"/>
    <n v="3.94"/>
    <x v="2"/>
    <x v="0"/>
  </r>
  <r>
    <x v="4"/>
    <n v="85"/>
    <x v="1"/>
    <x v="0"/>
    <s v="No"/>
    <n v="0"/>
    <n v="235.8"/>
    <n v="109"/>
    <n v="40.090000000000003"/>
    <n v="157.19999999999999"/>
    <n v="94"/>
    <n v="13.36"/>
    <n v="188.2"/>
    <n v="99"/>
    <n v="8.4700000000000006"/>
    <n v="12"/>
    <n v="3"/>
    <n v="3.24"/>
    <x v="3"/>
    <x v="0"/>
  </r>
  <r>
    <x v="10"/>
    <n v="46"/>
    <x v="1"/>
    <x v="0"/>
    <s v="No"/>
    <n v="0"/>
    <n v="214.1"/>
    <n v="72"/>
    <n v="36.4"/>
    <n v="164.4"/>
    <n v="104"/>
    <n v="13.97"/>
    <n v="177.5"/>
    <n v="113"/>
    <n v="7.99"/>
    <n v="8.1999999999999993"/>
    <n v="3"/>
    <n v="2.21"/>
    <x v="2"/>
    <x v="0"/>
  </r>
  <r>
    <x v="11"/>
    <n v="128"/>
    <x v="2"/>
    <x v="0"/>
    <s v="Yes"/>
    <n v="29"/>
    <n v="179.3"/>
    <n v="104"/>
    <n v="30.48"/>
    <n v="225.9"/>
    <n v="86"/>
    <n v="19.2"/>
    <n v="323"/>
    <n v="78"/>
    <n v="14.54"/>
    <n v="8.6"/>
    <n v="7"/>
    <n v="2.3199999999999998"/>
    <x v="3"/>
    <x v="0"/>
  </r>
  <r>
    <x v="0"/>
    <n v="155"/>
    <x v="1"/>
    <x v="0"/>
    <s v="No"/>
    <n v="0"/>
    <n v="203.4"/>
    <n v="100"/>
    <n v="34.58"/>
    <n v="190.9"/>
    <n v="104"/>
    <n v="16.23"/>
    <n v="196"/>
    <n v="119"/>
    <n v="8.82"/>
    <n v="8.9"/>
    <n v="4"/>
    <n v="2.4"/>
    <x v="3"/>
    <x v="1"/>
  </r>
  <r>
    <x v="12"/>
    <n v="73"/>
    <x v="1"/>
    <x v="0"/>
    <s v="No"/>
    <n v="0"/>
    <n v="160.1"/>
    <n v="110"/>
    <n v="27.22"/>
    <n v="213.3"/>
    <n v="72"/>
    <n v="18.13"/>
    <n v="174.1"/>
    <n v="72"/>
    <n v="7.83"/>
    <n v="13"/>
    <n v="4"/>
    <n v="3.51"/>
    <x v="3"/>
    <x v="0"/>
  </r>
  <r>
    <x v="7"/>
    <n v="77"/>
    <x v="1"/>
    <x v="0"/>
    <s v="No"/>
    <n v="0"/>
    <n v="251.8"/>
    <n v="72"/>
    <n v="42.81"/>
    <n v="205.7"/>
    <n v="126"/>
    <n v="17.48"/>
    <n v="275.2"/>
    <n v="109"/>
    <n v="12.38"/>
    <n v="9.8000000000000007"/>
    <n v="7"/>
    <n v="2.65"/>
    <x v="2"/>
    <x v="1"/>
  </r>
  <r>
    <x v="13"/>
    <n v="108"/>
    <x v="1"/>
    <x v="0"/>
    <s v="No"/>
    <n v="0"/>
    <n v="178.3"/>
    <n v="137"/>
    <n v="30.31"/>
    <n v="189"/>
    <n v="76"/>
    <n v="16.07"/>
    <n v="129.1"/>
    <n v="102"/>
    <n v="5.81"/>
    <n v="14.6"/>
    <n v="5"/>
    <n v="3.94"/>
    <x v="3"/>
    <x v="0"/>
  </r>
  <r>
    <x v="14"/>
    <n v="95"/>
    <x v="0"/>
    <x v="0"/>
    <s v="No"/>
    <n v="0"/>
    <n v="135"/>
    <n v="99"/>
    <n v="22.95"/>
    <n v="183.6"/>
    <n v="106"/>
    <n v="15.61"/>
    <n v="245.3"/>
    <n v="102"/>
    <n v="11.04"/>
    <n v="12.5"/>
    <n v="9"/>
    <n v="3.38"/>
    <x v="0"/>
    <x v="0"/>
  </r>
  <r>
    <x v="6"/>
    <n v="36"/>
    <x v="2"/>
    <x v="0"/>
    <s v="Yes"/>
    <n v="29"/>
    <n v="281.39999999999998"/>
    <n v="102"/>
    <n v="47.84"/>
    <n v="202.2"/>
    <n v="76"/>
    <n v="17.190000000000001"/>
    <n v="187.2"/>
    <n v="113"/>
    <n v="8.42"/>
    <n v="9"/>
    <n v="6"/>
    <n v="2.4300000000000002"/>
    <x v="2"/>
    <x v="0"/>
  </r>
  <r>
    <x v="15"/>
    <n v="141"/>
    <x v="1"/>
    <x v="0"/>
    <s v="Yes"/>
    <n v="32"/>
    <n v="148.6"/>
    <n v="91"/>
    <n v="25.26"/>
    <n v="131.1"/>
    <n v="97"/>
    <n v="11.14"/>
    <n v="219.4"/>
    <n v="142"/>
    <n v="9.8699999999999992"/>
    <n v="10.1"/>
    <n v="1"/>
    <n v="2.73"/>
    <x v="0"/>
    <x v="0"/>
  </r>
  <r>
    <x v="16"/>
    <n v="63"/>
    <x v="1"/>
    <x v="0"/>
    <s v="No"/>
    <n v="0"/>
    <n v="58.9"/>
    <n v="125"/>
    <n v="10.01"/>
    <n v="169.6"/>
    <n v="59"/>
    <n v="14.42"/>
    <n v="211.4"/>
    <n v="88"/>
    <n v="9.51"/>
    <n v="9.4"/>
    <n v="3"/>
    <n v="2.54"/>
    <x v="0"/>
    <x v="0"/>
  </r>
  <r>
    <x v="7"/>
    <n v="97"/>
    <x v="0"/>
    <x v="0"/>
    <s v="No"/>
    <n v="0"/>
    <n v="239.8"/>
    <n v="125"/>
    <n v="40.770000000000003"/>
    <n v="214.8"/>
    <n v="111"/>
    <n v="18.260000000000002"/>
    <n v="143.30000000000001"/>
    <n v="81"/>
    <n v="6.45"/>
    <n v="8.6999999999999993"/>
    <n v="5"/>
    <n v="2.35"/>
    <x v="2"/>
    <x v="0"/>
  </r>
  <r>
    <x v="17"/>
    <n v="75"/>
    <x v="0"/>
    <x v="0"/>
    <s v="No"/>
    <n v="0"/>
    <n v="166.3"/>
    <n v="125"/>
    <n v="28.27"/>
    <n v="158.19999999999999"/>
    <n v="86"/>
    <n v="13.45"/>
    <n v="256.7"/>
    <n v="80"/>
    <n v="11.55"/>
    <n v="6.1"/>
    <n v="5"/>
    <n v="1.65"/>
    <x v="0"/>
    <x v="0"/>
  </r>
  <r>
    <x v="18"/>
    <n v="127"/>
    <x v="0"/>
    <x v="0"/>
    <s v="No"/>
    <n v="0"/>
    <n v="146.69999999999999"/>
    <n v="91"/>
    <n v="24.94"/>
    <n v="203.5"/>
    <n v="78"/>
    <n v="17.3"/>
    <n v="203.4"/>
    <n v="110"/>
    <n v="9.15"/>
    <n v="13.7"/>
    <n v="3"/>
    <n v="3.7"/>
    <x v="0"/>
    <x v="0"/>
  </r>
  <r>
    <x v="0"/>
    <n v="121"/>
    <x v="0"/>
    <x v="0"/>
    <s v="No"/>
    <n v="0"/>
    <n v="181.5"/>
    <n v="121"/>
    <n v="30.86"/>
    <n v="218.4"/>
    <n v="98"/>
    <n v="18.559999999999999"/>
    <n v="161.6"/>
    <n v="103"/>
    <n v="7.27"/>
    <n v="8.5"/>
    <n v="5"/>
    <n v="2.2999999999999998"/>
    <x v="0"/>
    <x v="0"/>
  </r>
  <r>
    <x v="19"/>
    <n v="117"/>
    <x v="1"/>
    <x v="0"/>
    <s v="No"/>
    <n v="0"/>
    <n v="102.8"/>
    <n v="119"/>
    <n v="17.48"/>
    <n v="206.7"/>
    <n v="91"/>
    <n v="17.57"/>
    <n v="299"/>
    <n v="105"/>
    <n v="13.46"/>
    <n v="10.1"/>
    <n v="7"/>
    <n v="2.73"/>
    <x v="0"/>
    <x v="0"/>
  </r>
  <r>
    <x v="20"/>
    <n v="65"/>
    <x v="0"/>
    <x v="0"/>
    <s v="No"/>
    <n v="0"/>
    <n v="187.9"/>
    <n v="116"/>
    <n v="31.94"/>
    <n v="157.6"/>
    <n v="117"/>
    <n v="13.4"/>
    <n v="227.3"/>
    <n v="86"/>
    <n v="10.23"/>
    <n v="7.5"/>
    <n v="6"/>
    <n v="2.0299999999999998"/>
    <x v="0"/>
    <x v="0"/>
  </r>
  <r>
    <x v="21"/>
    <n v="6"/>
    <x v="2"/>
    <x v="0"/>
    <s v="No"/>
    <n v="0"/>
    <n v="183.6"/>
    <n v="117"/>
    <n v="31.21"/>
    <n v="256.7"/>
    <n v="72"/>
    <n v="21.82"/>
    <n v="178.6"/>
    <n v="79"/>
    <n v="8.0399999999999991"/>
    <n v="10.199999999999999"/>
    <n v="2"/>
    <n v="2.75"/>
    <x v="0"/>
    <x v="0"/>
  </r>
  <r>
    <x v="22"/>
    <n v="32"/>
    <x v="2"/>
    <x v="0"/>
    <s v="No"/>
    <n v="0"/>
    <n v="230.9"/>
    <n v="87"/>
    <n v="39.25"/>
    <n v="187.4"/>
    <n v="90"/>
    <n v="15.93"/>
    <n v="154"/>
    <n v="53"/>
    <n v="6.93"/>
    <n v="6.3"/>
    <n v="2"/>
    <n v="1.7"/>
    <x v="3"/>
    <x v="0"/>
  </r>
  <r>
    <x v="23"/>
    <n v="64"/>
    <x v="0"/>
    <x v="0"/>
    <s v="Yes"/>
    <n v="27"/>
    <n v="182.1"/>
    <n v="91"/>
    <n v="30.96"/>
    <n v="169.7"/>
    <n v="98"/>
    <n v="14.42"/>
    <n v="164.7"/>
    <n v="86"/>
    <n v="7.41"/>
    <n v="10.6"/>
    <n v="5"/>
    <n v="2.86"/>
    <x v="2"/>
    <x v="0"/>
  </r>
  <r>
    <x v="24"/>
    <n v="25"/>
    <x v="1"/>
    <x v="0"/>
    <s v="No"/>
    <n v="0"/>
    <n v="119.3"/>
    <n v="87"/>
    <n v="20.28"/>
    <n v="211.5"/>
    <n v="101"/>
    <n v="17.98"/>
    <n v="268.89999999999998"/>
    <n v="86"/>
    <n v="12.1"/>
    <n v="10.5"/>
    <n v="4"/>
    <n v="2.84"/>
    <x v="4"/>
    <x v="0"/>
  </r>
  <r>
    <x v="25"/>
    <n v="65"/>
    <x v="1"/>
    <x v="0"/>
    <s v="No"/>
    <n v="0"/>
    <n v="116.8"/>
    <n v="87"/>
    <n v="19.86"/>
    <n v="178.9"/>
    <n v="93"/>
    <n v="15.21"/>
    <n v="182.4"/>
    <n v="150"/>
    <n v="8.2100000000000009"/>
    <n v="14.1"/>
    <n v="2"/>
    <n v="3.81"/>
    <x v="0"/>
    <x v="0"/>
  </r>
  <r>
    <x v="6"/>
    <n v="127"/>
    <x v="1"/>
    <x v="0"/>
    <s v="No"/>
    <n v="0"/>
    <n v="202.1"/>
    <n v="103"/>
    <n v="34.36"/>
    <n v="229.4"/>
    <n v="86"/>
    <n v="19.5"/>
    <n v="195.2"/>
    <n v="113"/>
    <n v="8.7799999999999994"/>
    <n v="11.5"/>
    <n v="3"/>
    <n v="3.11"/>
    <x v="2"/>
    <x v="0"/>
  </r>
  <r>
    <x v="16"/>
    <n v="93"/>
    <x v="1"/>
    <x v="0"/>
    <s v="No"/>
    <n v="0"/>
    <n v="271.60000000000002"/>
    <n v="71"/>
    <n v="46.17"/>
    <n v="229.4"/>
    <n v="108"/>
    <n v="19.5"/>
    <n v="77.3"/>
    <n v="121"/>
    <n v="3.48"/>
    <n v="10.9"/>
    <n v="3"/>
    <n v="2.94"/>
    <x v="2"/>
    <x v="0"/>
  </r>
  <r>
    <x v="26"/>
    <n v="208"/>
    <x v="2"/>
    <x v="0"/>
    <s v="No"/>
    <n v="0"/>
    <n v="326.5"/>
    <n v="67"/>
    <n v="55.51"/>
    <n v="176.3"/>
    <n v="113"/>
    <n v="14.99"/>
    <n v="181.7"/>
    <n v="102"/>
    <n v="8.18"/>
    <n v="10.7"/>
    <n v="6"/>
    <n v="2.89"/>
    <x v="2"/>
    <x v="1"/>
  </r>
  <r>
    <x v="1"/>
    <n v="122"/>
    <x v="1"/>
    <x v="0"/>
    <s v="No"/>
    <n v="0"/>
    <n v="243.8"/>
    <n v="98"/>
    <n v="41.45"/>
    <n v="83.9"/>
    <n v="72"/>
    <n v="7.13"/>
    <n v="179.8"/>
    <n v="84"/>
    <n v="8.09"/>
    <n v="13.7"/>
    <n v="8"/>
    <n v="3.7"/>
    <x v="2"/>
    <x v="0"/>
  </r>
  <r>
    <x v="0"/>
    <n v="99"/>
    <x v="1"/>
    <x v="0"/>
    <s v="No"/>
    <n v="0"/>
    <n v="241.1"/>
    <n v="72"/>
    <n v="40.99"/>
    <n v="155.6"/>
    <n v="98"/>
    <n v="13.23"/>
    <n v="188.2"/>
    <n v="109"/>
    <n v="8.4700000000000006"/>
    <n v="11.6"/>
    <n v="10"/>
    <n v="3.13"/>
    <x v="0"/>
    <x v="0"/>
  </r>
  <r>
    <x v="27"/>
    <n v="65"/>
    <x v="1"/>
    <x v="0"/>
    <s v="No"/>
    <n v="0"/>
    <n v="136.1"/>
    <n v="112"/>
    <n v="23.14"/>
    <n v="272.89999999999998"/>
    <n v="96"/>
    <n v="23.2"/>
    <n v="220.2"/>
    <n v="104"/>
    <n v="9.91"/>
    <n v="4.4000000000000004"/>
    <n v="2"/>
    <n v="1.19"/>
    <x v="0"/>
    <x v="0"/>
  </r>
  <r>
    <x v="1"/>
    <n v="65"/>
    <x v="1"/>
    <x v="0"/>
    <s v="No"/>
    <n v="0"/>
    <n v="213.4"/>
    <n v="111"/>
    <n v="36.28"/>
    <n v="234.5"/>
    <n v="94"/>
    <n v="19.93"/>
    <n v="250.1"/>
    <n v="123"/>
    <n v="11.25"/>
    <n v="2.7"/>
    <n v="4"/>
    <n v="0.73"/>
    <x v="0"/>
    <x v="0"/>
  </r>
  <r>
    <x v="14"/>
    <n v="45"/>
    <x v="1"/>
    <x v="0"/>
    <s v="Yes"/>
    <n v="22"/>
    <n v="196.6"/>
    <n v="84"/>
    <n v="33.42"/>
    <n v="313.2"/>
    <n v="92"/>
    <n v="26.62"/>
    <n v="163.30000000000001"/>
    <n v="108"/>
    <n v="7.35"/>
    <n v="11.9"/>
    <n v="3"/>
    <n v="3.21"/>
    <x v="3"/>
    <x v="0"/>
  </r>
  <r>
    <x v="10"/>
    <n v="139"/>
    <x v="2"/>
    <x v="0"/>
    <s v="No"/>
    <n v="0"/>
    <n v="134.4"/>
    <n v="106"/>
    <n v="22.85"/>
    <n v="211.3"/>
    <n v="98"/>
    <n v="17.96"/>
    <n v="193.6"/>
    <n v="125"/>
    <n v="8.7100000000000009"/>
    <n v="10.199999999999999"/>
    <n v="2"/>
    <n v="2.75"/>
    <x v="5"/>
    <x v="1"/>
  </r>
  <r>
    <x v="28"/>
    <n v="215"/>
    <x v="2"/>
    <x v="0"/>
    <s v="No"/>
    <n v="0"/>
    <n v="83.6"/>
    <n v="148"/>
    <n v="14.21"/>
    <n v="120.9"/>
    <n v="91"/>
    <n v="10.28"/>
    <n v="226.6"/>
    <n v="110"/>
    <n v="10.199999999999999"/>
    <n v="10.7"/>
    <n v="9"/>
    <n v="2.89"/>
    <x v="3"/>
    <x v="0"/>
  </r>
  <r>
    <x v="16"/>
    <n v="94"/>
    <x v="0"/>
    <x v="0"/>
    <s v="No"/>
    <n v="0"/>
    <n v="181.8"/>
    <n v="85"/>
    <n v="30.91"/>
    <n v="202.4"/>
    <n v="98"/>
    <n v="17.2"/>
    <n v="245.9"/>
    <n v="97"/>
    <n v="11.07"/>
    <n v="9.1999999999999993"/>
    <n v="2"/>
    <n v="2.48"/>
    <x v="1"/>
    <x v="0"/>
  </r>
  <r>
    <x v="24"/>
    <n v="119"/>
    <x v="2"/>
    <x v="0"/>
    <s v="Yes"/>
    <n v="23"/>
    <n v="154"/>
    <n v="114"/>
    <n v="26.18"/>
    <n v="278"/>
    <n v="137"/>
    <n v="23.63"/>
    <n v="228.4"/>
    <n v="112"/>
    <n v="10.28"/>
    <n v="11.8"/>
    <n v="4"/>
    <n v="3.19"/>
    <x v="2"/>
    <x v="0"/>
  </r>
  <r>
    <x v="6"/>
    <n v="86"/>
    <x v="2"/>
    <x v="0"/>
    <s v="Yes"/>
    <n v="41"/>
    <n v="119"/>
    <n v="101"/>
    <n v="20.23"/>
    <n v="230"/>
    <n v="134"/>
    <n v="19.55"/>
    <n v="236.9"/>
    <n v="58"/>
    <n v="10.66"/>
    <n v="9.5"/>
    <n v="3"/>
    <n v="2.57"/>
    <x v="3"/>
    <x v="0"/>
  </r>
  <r>
    <x v="29"/>
    <n v="106"/>
    <x v="0"/>
    <x v="0"/>
    <s v="Yes"/>
    <n v="32"/>
    <n v="165.9"/>
    <n v="126"/>
    <n v="28.2"/>
    <n v="216.5"/>
    <n v="93"/>
    <n v="18.399999999999999"/>
    <n v="173.1"/>
    <n v="86"/>
    <n v="7.79"/>
    <n v="14.1"/>
    <n v="8"/>
    <n v="3.81"/>
    <x v="1"/>
    <x v="0"/>
  </r>
  <r>
    <x v="30"/>
    <n v="92"/>
    <x v="0"/>
    <x v="1"/>
    <s v="No"/>
    <n v="0"/>
    <n v="62.6"/>
    <n v="111"/>
    <n v="10.64"/>
    <n v="180.6"/>
    <n v="126"/>
    <n v="15.35"/>
    <n v="221.7"/>
    <n v="80"/>
    <n v="9.98"/>
    <n v="10.4"/>
    <n v="2"/>
    <n v="2.81"/>
    <x v="0"/>
    <x v="1"/>
  </r>
  <r>
    <x v="3"/>
    <n v="78"/>
    <x v="2"/>
    <x v="0"/>
    <s v="No"/>
    <n v="0"/>
    <n v="168.3"/>
    <n v="110"/>
    <n v="28.61"/>
    <n v="221.2"/>
    <n v="73"/>
    <n v="18.8"/>
    <n v="241"/>
    <n v="136"/>
    <n v="10.85"/>
    <n v="12.5"/>
    <n v="1"/>
    <n v="3.38"/>
    <x v="0"/>
    <x v="0"/>
  </r>
  <r>
    <x v="31"/>
    <n v="155"/>
    <x v="0"/>
    <x v="0"/>
    <s v="No"/>
    <n v="0"/>
    <n v="262.39999999999998"/>
    <n v="55"/>
    <n v="44.61"/>
    <n v="194.6"/>
    <n v="113"/>
    <n v="16.54"/>
    <n v="146.5"/>
    <n v="85"/>
    <n v="6.59"/>
    <n v="8.3000000000000007"/>
    <n v="6"/>
    <n v="2.2400000000000002"/>
    <x v="2"/>
    <x v="0"/>
  </r>
  <r>
    <x v="21"/>
    <n v="64"/>
    <x v="2"/>
    <x v="0"/>
    <s v="Yes"/>
    <n v="48"/>
    <n v="94.4"/>
    <n v="104"/>
    <n v="16.05"/>
    <n v="136.19999999999999"/>
    <n v="101"/>
    <n v="11.58"/>
    <n v="147.4"/>
    <n v="89"/>
    <n v="6.63"/>
    <n v="4.5"/>
    <n v="4"/>
    <n v="1.22"/>
    <x v="3"/>
    <x v="0"/>
  </r>
  <r>
    <x v="18"/>
    <n v="83"/>
    <x v="1"/>
    <x v="0"/>
    <s v="No"/>
    <n v="0"/>
    <n v="221.4"/>
    <n v="103"/>
    <n v="37.64"/>
    <n v="231.8"/>
    <n v="103"/>
    <n v="19.7"/>
    <n v="122.5"/>
    <n v="100"/>
    <n v="5.51"/>
    <n v="9.8000000000000007"/>
    <n v="5"/>
    <n v="2.65"/>
    <x v="4"/>
    <x v="0"/>
  </r>
  <r>
    <x v="32"/>
    <n v="144"/>
    <x v="0"/>
    <x v="0"/>
    <s v="Yes"/>
    <n v="48"/>
    <n v="189.8"/>
    <n v="96"/>
    <n v="32.270000000000003"/>
    <n v="123.4"/>
    <n v="67"/>
    <n v="10.49"/>
    <n v="214.2"/>
    <n v="106"/>
    <n v="9.64"/>
    <n v="6.5"/>
    <n v="2"/>
    <n v="1.76"/>
    <x v="2"/>
    <x v="1"/>
  </r>
  <r>
    <x v="12"/>
    <n v="143"/>
    <x v="1"/>
    <x v="0"/>
    <s v="No"/>
    <n v="0"/>
    <n v="172.3"/>
    <n v="97"/>
    <n v="29.29"/>
    <n v="174"/>
    <n v="108"/>
    <n v="14.79"/>
    <n v="188.2"/>
    <n v="119"/>
    <n v="8.4700000000000006"/>
    <n v="13"/>
    <n v="4"/>
    <n v="3.51"/>
    <x v="2"/>
    <x v="0"/>
  </r>
  <r>
    <x v="10"/>
    <n v="81"/>
    <x v="1"/>
    <x v="0"/>
    <s v="No"/>
    <n v="0"/>
    <n v="198.4"/>
    <n v="93"/>
    <n v="33.729999999999997"/>
    <n v="210.9"/>
    <n v="108"/>
    <n v="17.93"/>
    <n v="193.3"/>
    <n v="71"/>
    <n v="8.6999999999999993"/>
    <n v="10.4"/>
    <n v="6"/>
    <n v="2.81"/>
    <x v="2"/>
    <x v="0"/>
  </r>
  <r>
    <x v="32"/>
    <n v="145"/>
    <x v="0"/>
    <x v="0"/>
    <s v="Yes"/>
    <n v="24"/>
    <n v="147.5"/>
    <n v="90"/>
    <n v="25.08"/>
    <n v="175.7"/>
    <n v="108"/>
    <n v="14.93"/>
    <n v="252.1"/>
    <n v="102"/>
    <n v="11.34"/>
    <n v="15.6"/>
    <n v="3"/>
    <n v="4.21"/>
    <x v="2"/>
    <x v="0"/>
  </r>
  <r>
    <x v="33"/>
    <n v="89"/>
    <x v="2"/>
    <x v="0"/>
    <s v="No"/>
    <n v="0"/>
    <n v="303.89999999999998"/>
    <n v="95"/>
    <n v="51.66"/>
    <n v="260.89999999999998"/>
    <n v="114"/>
    <n v="22.18"/>
    <n v="312.10000000000002"/>
    <n v="89"/>
    <n v="14.04"/>
    <n v="5.3"/>
    <n v="3"/>
    <n v="1.43"/>
    <x v="0"/>
    <x v="1"/>
  </r>
  <r>
    <x v="34"/>
    <n v="199"/>
    <x v="1"/>
    <x v="0"/>
    <s v="Yes"/>
    <n v="34"/>
    <n v="230.6"/>
    <n v="121"/>
    <n v="39.200000000000003"/>
    <n v="219.4"/>
    <n v="99"/>
    <n v="18.649999999999999"/>
    <n v="299.3"/>
    <n v="94"/>
    <n v="13.47"/>
    <n v="8"/>
    <n v="2"/>
    <n v="2.16"/>
    <x v="3"/>
    <x v="0"/>
  </r>
  <r>
    <x v="34"/>
    <n v="96"/>
    <x v="1"/>
    <x v="0"/>
    <s v="Yes"/>
    <n v="37"/>
    <n v="172.7"/>
    <n v="93"/>
    <n v="29.36"/>
    <n v="120.1"/>
    <n v="116"/>
    <n v="10.210000000000001"/>
    <n v="216.1"/>
    <n v="86"/>
    <n v="9.7200000000000006"/>
    <n v="10.3"/>
    <n v="5"/>
    <n v="2.78"/>
    <x v="5"/>
    <x v="1"/>
  </r>
  <r>
    <x v="10"/>
    <n v="94"/>
    <x v="1"/>
    <x v="0"/>
    <s v="No"/>
    <n v="0"/>
    <n v="181.5"/>
    <n v="98"/>
    <n v="30.86"/>
    <n v="199.9"/>
    <n v="88"/>
    <n v="16.989999999999998"/>
    <n v="287.7"/>
    <n v="114"/>
    <n v="12.95"/>
    <n v="6.6"/>
    <n v="5"/>
    <n v="1.78"/>
    <x v="0"/>
    <x v="0"/>
  </r>
  <r>
    <x v="29"/>
    <n v="127"/>
    <x v="1"/>
    <x v="0"/>
    <s v="No"/>
    <n v="0"/>
    <n v="266.60000000000002"/>
    <n v="106"/>
    <n v="45.32"/>
    <n v="264.8"/>
    <n v="168"/>
    <n v="22.51"/>
    <n v="207.2"/>
    <n v="119"/>
    <n v="9.32"/>
    <n v="5.9"/>
    <n v="2"/>
    <n v="1.59"/>
    <x v="0"/>
    <x v="1"/>
  </r>
  <r>
    <x v="35"/>
    <n v="121"/>
    <x v="0"/>
    <x v="0"/>
    <s v="No"/>
    <n v="0"/>
    <n v="170.4"/>
    <n v="108"/>
    <n v="28.97"/>
    <n v="350.5"/>
    <n v="68"/>
    <n v="29.79"/>
    <n v="297"/>
    <n v="87"/>
    <n v="13.37"/>
    <n v="11.2"/>
    <n v="3"/>
    <n v="3.02"/>
    <x v="3"/>
    <x v="1"/>
  </r>
  <r>
    <x v="1"/>
    <n v="122"/>
    <x v="0"/>
    <x v="0"/>
    <s v="No"/>
    <n v="0"/>
    <n v="296.39999999999998"/>
    <n v="99"/>
    <n v="50.39"/>
    <n v="214.8"/>
    <n v="89"/>
    <n v="18.260000000000002"/>
    <n v="133.9"/>
    <n v="107"/>
    <n v="6.03"/>
    <n v="11.4"/>
    <n v="3"/>
    <n v="3.08"/>
    <x v="1"/>
    <x v="1"/>
  </r>
  <r>
    <x v="22"/>
    <n v="121"/>
    <x v="0"/>
    <x v="0"/>
    <s v="Yes"/>
    <n v="35"/>
    <n v="68.7"/>
    <n v="95"/>
    <n v="11.68"/>
    <n v="209.2"/>
    <n v="69"/>
    <n v="17.78"/>
    <n v="197.4"/>
    <n v="42"/>
    <n v="8.8800000000000008"/>
    <n v="11.4"/>
    <n v="4"/>
    <n v="3.08"/>
    <x v="0"/>
    <x v="0"/>
  </r>
  <r>
    <x v="25"/>
    <n v="77"/>
    <x v="2"/>
    <x v="0"/>
    <s v="No"/>
    <n v="0"/>
    <n v="233.8"/>
    <n v="104"/>
    <n v="39.75"/>
    <n v="266.5"/>
    <n v="94"/>
    <n v="22.65"/>
    <n v="212.7"/>
    <n v="104"/>
    <n v="9.57"/>
    <n v="7.6"/>
    <n v="3"/>
    <n v="2.0499999999999998"/>
    <x v="2"/>
    <x v="0"/>
  </r>
  <r>
    <x v="27"/>
    <n v="64"/>
    <x v="0"/>
    <x v="1"/>
    <s v="No"/>
    <n v="0"/>
    <n v="236.2"/>
    <n v="77"/>
    <n v="40.15"/>
    <n v="218.6"/>
    <n v="85"/>
    <n v="18.579999999999998"/>
    <n v="194.1"/>
    <n v="97"/>
    <n v="8.73"/>
    <n v="13.2"/>
    <n v="2"/>
    <n v="3.56"/>
    <x v="2"/>
    <x v="1"/>
  </r>
  <r>
    <x v="17"/>
    <n v="124"/>
    <x v="0"/>
    <x v="1"/>
    <s v="No"/>
    <n v="0"/>
    <n v="244.6"/>
    <n v="89"/>
    <n v="41.58"/>
    <n v="188.8"/>
    <n v="80"/>
    <n v="16.05"/>
    <n v="206"/>
    <n v="114"/>
    <n v="9.27"/>
    <n v="11.3"/>
    <n v="4"/>
    <n v="3.05"/>
    <x v="0"/>
    <x v="0"/>
  </r>
  <r>
    <x v="36"/>
    <n v="148"/>
    <x v="1"/>
    <x v="0"/>
    <s v="No"/>
    <n v="0"/>
    <n v="124.4"/>
    <n v="83"/>
    <n v="21.15"/>
    <n v="179.7"/>
    <n v="81"/>
    <n v="15.27"/>
    <n v="253"/>
    <n v="99"/>
    <n v="11.39"/>
    <n v="11.3"/>
    <n v="6"/>
    <n v="3.05"/>
    <x v="3"/>
    <x v="0"/>
  </r>
  <r>
    <x v="27"/>
    <n v="77"/>
    <x v="0"/>
    <x v="0"/>
    <s v="No"/>
    <n v="0"/>
    <n v="230"/>
    <n v="87"/>
    <n v="39.1"/>
    <n v="103.2"/>
    <n v="138"/>
    <n v="8.77"/>
    <n v="309.60000000000002"/>
    <n v="136"/>
    <n v="13.93"/>
    <n v="11.3"/>
    <n v="3"/>
    <n v="3.05"/>
    <x v="2"/>
    <x v="0"/>
  </r>
  <r>
    <x v="31"/>
    <n v="135"/>
    <x v="1"/>
    <x v="0"/>
    <s v="No"/>
    <n v="0"/>
    <n v="201.8"/>
    <n v="81"/>
    <n v="34.31"/>
    <n v="225"/>
    <n v="114"/>
    <n v="19.13"/>
    <n v="204.4"/>
    <n v="82"/>
    <n v="9.1999999999999993"/>
    <n v="10.3"/>
    <n v="6"/>
    <n v="2.78"/>
    <x v="0"/>
    <x v="0"/>
  </r>
  <r>
    <x v="32"/>
    <n v="87"/>
    <x v="1"/>
    <x v="0"/>
    <s v="Yes"/>
    <n v="21"/>
    <n v="214"/>
    <n v="113"/>
    <n v="36.380000000000003"/>
    <n v="180"/>
    <n v="114"/>
    <n v="15.3"/>
    <n v="134.5"/>
    <n v="82"/>
    <n v="6.05"/>
    <n v="10.6"/>
    <n v="5"/>
    <n v="2.86"/>
    <x v="3"/>
    <x v="0"/>
  </r>
  <r>
    <x v="23"/>
    <n v="54"/>
    <x v="2"/>
    <x v="0"/>
    <s v="No"/>
    <n v="0"/>
    <n v="210.5"/>
    <n v="102"/>
    <n v="35.79"/>
    <n v="204.5"/>
    <n v="83"/>
    <n v="17.38"/>
    <n v="127.8"/>
    <n v="53"/>
    <n v="5.75"/>
    <n v="8.5"/>
    <n v="5"/>
    <n v="2.2999999999999998"/>
    <x v="0"/>
    <x v="0"/>
  </r>
  <r>
    <x v="13"/>
    <n v="35"/>
    <x v="1"/>
    <x v="0"/>
    <s v="No"/>
    <n v="0"/>
    <n v="105.6"/>
    <n v="129"/>
    <n v="17.95"/>
    <n v="258.2"/>
    <n v="129"/>
    <n v="21.95"/>
    <n v="213.1"/>
    <n v="77"/>
    <n v="9.59"/>
    <n v="8.6999999999999993"/>
    <n v="3"/>
    <n v="2.35"/>
    <x v="3"/>
    <x v="0"/>
  </r>
  <r>
    <x v="26"/>
    <n v="84"/>
    <x v="0"/>
    <x v="0"/>
    <s v="No"/>
    <n v="0"/>
    <n v="138.6"/>
    <n v="102"/>
    <n v="23.56"/>
    <n v="199"/>
    <n v="93"/>
    <n v="16.920000000000002"/>
    <n v="204.1"/>
    <n v="137"/>
    <n v="9.18"/>
    <n v="7.8"/>
    <n v="4"/>
    <n v="2.11"/>
    <x v="3"/>
    <x v="0"/>
  </r>
  <r>
    <x v="25"/>
    <n v="94"/>
    <x v="1"/>
    <x v="0"/>
    <s v="No"/>
    <n v="0"/>
    <n v="234.4"/>
    <n v="103"/>
    <n v="39.85"/>
    <n v="279.3"/>
    <n v="109"/>
    <n v="23.74"/>
    <n v="234.2"/>
    <n v="121"/>
    <n v="10.54"/>
    <n v="2"/>
    <n v="2"/>
    <n v="0.54"/>
    <x v="0"/>
    <x v="1"/>
  </r>
  <r>
    <x v="37"/>
    <n v="96"/>
    <x v="0"/>
    <x v="0"/>
    <s v="Yes"/>
    <n v="26"/>
    <n v="145.80000000000001"/>
    <n v="108"/>
    <n v="24.79"/>
    <n v="192.2"/>
    <n v="89"/>
    <n v="16.34"/>
    <n v="165.1"/>
    <n v="96"/>
    <n v="7.43"/>
    <n v="9.9"/>
    <n v="2"/>
    <n v="2.67"/>
    <x v="0"/>
    <x v="0"/>
  </r>
  <r>
    <x v="38"/>
    <n v="64"/>
    <x v="1"/>
    <x v="0"/>
    <s v="No"/>
    <n v="0"/>
    <n v="97.2"/>
    <n v="80"/>
    <n v="16.52"/>
    <n v="186.2"/>
    <n v="90"/>
    <n v="15.83"/>
    <n v="189"/>
    <n v="92"/>
    <n v="8.5"/>
    <n v="10.4"/>
    <n v="6"/>
    <n v="2.81"/>
    <x v="2"/>
    <x v="0"/>
  </r>
  <r>
    <x v="19"/>
    <n v="85"/>
    <x v="1"/>
    <x v="0"/>
    <s v="No"/>
    <n v="0"/>
    <n v="259.8"/>
    <n v="85"/>
    <n v="44.17"/>
    <n v="242.3"/>
    <n v="117"/>
    <n v="20.6"/>
    <n v="168.8"/>
    <n v="72"/>
    <n v="7.6"/>
    <n v="5.4"/>
    <n v="1"/>
    <n v="1.46"/>
    <x v="3"/>
    <x v="0"/>
  </r>
  <r>
    <x v="16"/>
    <n v="117"/>
    <x v="0"/>
    <x v="0"/>
    <s v="No"/>
    <n v="0"/>
    <n v="239.9"/>
    <n v="84"/>
    <n v="40.78"/>
    <n v="174.8"/>
    <n v="106"/>
    <n v="14.86"/>
    <n v="209.5"/>
    <n v="93"/>
    <n v="9.43"/>
    <n v="9.8000000000000007"/>
    <n v="2"/>
    <n v="2.65"/>
    <x v="3"/>
    <x v="0"/>
  </r>
  <r>
    <x v="39"/>
    <n v="112"/>
    <x v="1"/>
    <x v="0"/>
    <s v="Yes"/>
    <n v="16"/>
    <n v="221.6"/>
    <n v="110"/>
    <n v="37.67"/>
    <n v="130.19999999999999"/>
    <n v="123"/>
    <n v="11.07"/>
    <n v="200"/>
    <n v="108"/>
    <n v="9"/>
    <n v="11.3"/>
    <n v="3"/>
    <n v="3.05"/>
    <x v="0"/>
    <x v="0"/>
  </r>
  <r>
    <x v="13"/>
    <n v="129"/>
    <x v="2"/>
    <x v="1"/>
    <s v="No"/>
    <n v="0"/>
    <n v="192.9"/>
    <n v="131"/>
    <n v="32.79"/>
    <n v="185.5"/>
    <n v="101"/>
    <n v="15.77"/>
    <n v="205.2"/>
    <n v="130"/>
    <n v="9.23"/>
    <n v="10.9"/>
    <n v="4"/>
    <n v="2.94"/>
    <x v="0"/>
    <x v="0"/>
  </r>
  <r>
    <x v="16"/>
    <n v="140"/>
    <x v="0"/>
    <x v="0"/>
    <s v="No"/>
    <n v="0"/>
    <n v="173.2"/>
    <n v="91"/>
    <n v="29.44"/>
    <n v="196.8"/>
    <n v="106"/>
    <n v="16.73"/>
    <n v="209.3"/>
    <n v="128"/>
    <n v="9.42"/>
    <n v="11.2"/>
    <n v="5"/>
    <n v="3.02"/>
    <x v="4"/>
    <x v="0"/>
  </r>
  <r>
    <x v="6"/>
    <n v="81"/>
    <x v="1"/>
    <x v="0"/>
    <s v="No"/>
    <n v="0"/>
    <n v="153.5"/>
    <n v="99"/>
    <n v="26.1"/>
    <n v="197.6"/>
    <n v="102"/>
    <n v="16.8"/>
    <n v="198.5"/>
    <n v="86"/>
    <n v="8.93"/>
    <n v="6.3"/>
    <n v="2"/>
    <n v="1.7"/>
    <x v="2"/>
    <x v="0"/>
  </r>
  <r>
    <x v="26"/>
    <n v="70"/>
    <x v="2"/>
    <x v="0"/>
    <s v="No"/>
    <n v="0"/>
    <n v="59.5"/>
    <n v="103"/>
    <n v="10.119999999999999"/>
    <n v="257.2"/>
    <n v="106"/>
    <n v="21.86"/>
    <n v="208.3"/>
    <n v="86"/>
    <n v="9.3699999999999992"/>
    <n v="11.1"/>
    <n v="6"/>
    <n v="3"/>
    <x v="3"/>
    <x v="0"/>
  </r>
  <r>
    <x v="7"/>
    <n v="79"/>
    <x v="2"/>
    <x v="0"/>
    <s v="Yes"/>
    <n v="21"/>
    <n v="264.3"/>
    <n v="79"/>
    <n v="44.93"/>
    <n v="202.8"/>
    <n v="118"/>
    <n v="17.239999999999998"/>
    <n v="173.4"/>
    <n v="92"/>
    <n v="7.8"/>
    <n v="6.3"/>
    <n v="3"/>
    <n v="1.7"/>
    <x v="1"/>
    <x v="0"/>
  </r>
  <r>
    <x v="22"/>
    <n v="85"/>
    <x v="0"/>
    <x v="0"/>
    <s v="No"/>
    <n v="0"/>
    <n v="127.9"/>
    <n v="107"/>
    <n v="21.74"/>
    <n v="271.2"/>
    <n v="124"/>
    <n v="23.05"/>
    <n v="202.2"/>
    <n v="76"/>
    <n v="9.1"/>
    <n v="12.5"/>
    <n v="5"/>
    <n v="3.38"/>
    <x v="3"/>
    <x v="0"/>
  </r>
  <r>
    <x v="32"/>
    <n v="91"/>
    <x v="2"/>
    <x v="0"/>
    <s v="No"/>
    <n v="0"/>
    <n v="149"/>
    <n v="115"/>
    <n v="25.33"/>
    <n v="245.3"/>
    <n v="105"/>
    <n v="20.85"/>
    <n v="260"/>
    <n v="94"/>
    <n v="11.7"/>
    <n v="8.3000000000000007"/>
    <n v="3"/>
    <n v="2.2400000000000002"/>
    <x v="3"/>
    <x v="0"/>
  </r>
  <r>
    <x v="0"/>
    <n v="149"/>
    <x v="1"/>
    <x v="0"/>
    <s v="Yes"/>
    <n v="20"/>
    <n v="198.9"/>
    <n v="77"/>
    <n v="33.81"/>
    <n v="274"/>
    <n v="88"/>
    <n v="23.29"/>
    <n v="190.7"/>
    <n v="76"/>
    <n v="8.58"/>
    <n v="14.3"/>
    <n v="9"/>
    <n v="3.86"/>
    <x v="0"/>
    <x v="0"/>
  </r>
  <r>
    <x v="16"/>
    <n v="60"/>
    <x v="1"/>
    <x v="0"/>
    <s v="No"/>
    <n v="0"/>
    <n v="98.2"/>
    <n v="88"/>
    <n v="16.690000000000001"/>
    <n v="180.5"/>
    <n v="69"/>
    <n v="15.34"/>
    <n v="223.6"/>
    <n v="69"/>
    <n v="10.06"/>
    <n v="9.3000000000000007"/>
    <n v="2"/>
    <n v="2.5099999999999998"/>
    <x v="2"/>
    <x v="0"/>
  </r>
  <r>
    <x v="35"/>
    <n v="115"/>
    <x v="0"/>
    <x v="0"/>
    <s v="No"/>
    <n v="0"/>
    <n v="147.9"/>
    <n v="109"/>
    <n v="25.14"/>
    <n v="228.4"/>
    <n v="117"/>
    <n v="19.41"/>
    <n v="299.7"/>
    <n v="90"/>
    <n v="13.49"/>
    <n v="9.6"/>
    <n v="9"/>
    <n v="2.59"/>
    <x v="4"/>
    <x v="0"/>
  </r>
  <r>
    <x v="20"/>
    <n v="144"/>
    <x v="1"/>
    <x v="0"/>
    <s v="Yes"/>
    <n v="18"/>
    <n v="106.4"/>
    <n v="109"/>
    <n v="18.09"/>
    <n v="108.1"/>
    <n v="113"/>
    <n v="9.19"/>
    <n v="208.4"/>
    <n v="111"/>
    <n v="9.3800000000000008"/>
    <n v="10.1"/>
    <n v="5"/>
    <n v="2.73"/>
    <x v="0"/>
    <x v="0"/>
  </r>
  <r>
    <x v="16"/>
    <n v="86"/>
    <x v="1"/>
    <x v="0"/>
    <s v="Yes"/>
    <n v="32"/>
    <n v="70.900000000000006"/>
    <n v="163"/>
    <n v="12.05"/>
    <n v="166.7"/>
    <n v="121"/>
    <n v="14.17"/>
    <n v="244.9"/>
    <n v="105"/>
    <n v="11.02"/>
    <n v="11.1"/>
    <n v="5"/>
    <n v="3"/>
    <x v="4"/>
    <x v="0"/>
  </r>
  <r>
    <x v="6"/>
    <n v="139"/>
    <x v="1"/>
    <x v="0"/>
    <s v="Yes"/>
    <n v="20"/>
    <n v="214.6"/>
    <n v="101"/>
    <n v="36.479999999999997"/>
    <n v="235.1"/>
    <n v="132"/>
    <n v="19.98"/>
    <n v="162.80000000000001"/>
    <n v="132"/>
    <n v="7.33"/>
    <n v="14.8"/>
    <n v="12"/>
    <n v="4"/>
    <x v="3"/>
    <x v="0"/>
  </r>
  <r>
    <x v="38"/>
    <n v="124"/>
    <x v="0"/>
    <x v="0"/>
    <s v="No"/>
    <n v="0"/>
    <n v="151.1"/>
    <n v="123"/>
    <n v="25.69"/>
    <n v="187.4"/>
    <n v="104"/>
    <n v="15.93"/>
    <n v="255.4"/>
    <n v="93"/>
    <n v="11.49"/>
    <n v="5.3"/>
    <n v="3"/>
    <n v="1.43"/>
    <x v="0"/>
    <x v="0"/>
  </r>
  <r>
    <x v="13"/>
    <n v="102"/>
    <x v="2"/>
    <x v="1"/>
    <s v="No"/>
    <n v="0"/>
    <n v="233.8"/>
    <n v="103"/>
    <n v="39.75"/>
    <n v="221.6"/>
    <n v="131"/>
    <n v="18.84"/>
    <n v="146.9"/>
    <n v="106"/>
    <n v="6.61"/>
    <n v="12.8"/>
    <n v="3"/>
    <n v="3.46"/>
    <x v="3"/>
    <x v="0"/>
  </r>
  <r>
    <x v="1"/>
    <n v="78"/>
    <x v="1"/>
    <x v="0"/>
    <s v="No"/>
    <n v="0"/>
    <n v="208.9"/>
    <n v="119"/>
    <n v="35.51"/>
    <n v="252.4"/>
    <n v="132"/>
    <n v="21.45"/>
    <n v="280.2"/>
    <n v="120"/>
    <n v="12.61"/>
    <n v="12.8"/>
    <n v="7"/>
    <n v="3.46"/>
    <x v="3"/>
    <x v="0"/>
  </r>
  <r>
    <x v="22"/>
    <n v="55"/>
    <x v="1"/>
    <x v="1"/>
    <s v="No"/>
    <n v="0"/>
    <n v="191.9"/>
    <n v="91"/>
    <n v="32.619999999999997"/>
    <n v="256.10000000000002"/>
    <n v="110"/>
    <n v="21.77"/>
    <n v="203.7"/>
    <n v="101"/>
    <n v="9.17"/>
    <n v="14.3"/>
    <n v="6"/>
    <n v="3.86"/>
    <x v="0"/>
    <x v="1"/>
  </r>
  <r>
    <x v="35"/>
    <n v="129"/>
    <x v="1"/>
    <x v="0"/>
    <s v="Yes"/>
    <n v="33"/>
    <n v="119.6"/>
    <n v="104"/>
    <n v="20.329999999999998"/>
    <n v="278.7"/>
    <n v="88"/>
    <n v="23.69"/>
    <n v="263.39999999999998"/>
    <n v="175"/>
    <n v="11.85"/>
    <n v="5.9"/>
    <n v="2"/>
    <n v="1.59"/>
    <x v="2"/>
    <x v="0"/>
  </r>
  <r>
    <x v="40"/>
    <n v="75"/>
    <x v="0"/>
    <x v="1"/>
    <s v="No"/>
    <n v="0"/>
    <n v="211.3"/>
    <n v="61"/>
    <n v="35.92"/>
    <n v="105.6"/>
    <n v="119"/>
    <n v="8.98"/>
    <n v="175.9"/>
    <n v="63"/>
    <n v="7.92"/>
    <n v="9.6999999999999993"/>
    <n v="4"/>
    <n v="2.62"/>
    <x v="1"/>
    <x v="1"/>
  </r>
  <r>
    <x v="32"/>
    <n v="126"/>
    <x v="1"/>
    <x v="0"/>
    <s v="Yes"/>
    <n v="23"/>
    <n v="114.3"/>
    <n v="102"/>
    <n v="19.43"/>
    <n v="190.3"/>
    <n v="103"/>
    <n v="16.18"/>
    <n v="240.4"/>
    <n v="111"/>
    <n v="10.82"/>
    <n v="12.6"/>
    <n v="7"/>
    <n v="3.4"/>
    <x v="4"/>
    <x v="0"/>
  </r>
  <r>
    <x v="21"/>
    <n v="92"/>
    <x v="1"/>
    <x v="0"/>
    <s v="No"/>
    <n v="0"/>
    <n v="154"/>
    <n v="122"/>
    <n v="26.18"/>
    <n v="329.8"/>
    <n v="88"/>
    <n v="28.03"/>
    <n v="288"/>
    <n v="117"/>
    <n v="12.96"/>
    <n v="5.6"/>
    <n v="2"/>
    <n v="1.51"/>
    <x v="4"/>
    <x v="1"/>
  </r>
  <r>
    <x v="33"/>
    <n v="52"/>
    <x v="0"/>
    <x v="0"/>
    <s v="No"/>
    <n v="0"/>
    <n v="214.7"/>
    <n v="68"/>
    <n v="36.5"/>
    <n v="158.6"/>
    <n v="138"/>
    <n v="13.48"/>
    <n v="123.4"/>
    <n v="114"/>
    <n v="5.55"/>
    <n v="9.4"/>
    <n v="4"/>
    <n v="2.54"/>
    <x v="2"/>
    <x v="0"/>
  </r>
  <r>
    <x v="41"/>
    <n v="87"/>
    <x v="2"/>
    <x v="0"/>
    <s v="No"/>
    <n v="0"/>
    <n v="231.3"/>
    <n v="105"/>
    <n v="39.32"/>
    <n v="171.7"/>
    <n v="108"/>
    <n v="14.59"/>
    <n v="67.7"/>
    <n v="136"/>
    <n v="3.05"/>
    <n v="13"/>
    <n v="6"/>
    <n v="3.51"/>
    <x v="0"/>
    <x v="0"/>
  </r>
  <r>
    <x v="42"/>
    <n v="95"/>
    <x v="1"/>
    <x v="0"/>
    <s v="Yes"/>
    <n v="22"/>
    <n v="40.9"/>
    <n v="126"/>
    <n v="6.95"/>
    <n v="133.4"/>
    <n v="90"/>
    <n v="11.34"/>
    <n v="264.2"/>
    <n v="91"/>
    <n v="11.89"/>
    <n v="11.9"/>
    <n v="7"/>
    <n v="3.21"/>
    <x v="3"/>
    <x v="0"/>
  </r>
  <r>
    <x v="0"/>
    <n v="67"/>
    <x v="2"/>
    <x v="0"/>
    <s v="No"/>
    <n v="0"/>
    <n v="310.39999999999998"/>
    <n v="97"/>
    <n v="52.77"/>
    <n v="66.5"/>
    <n v="123"/>
    <n v="5.65"/>
    <n v="246.5"/>
    <n v="99"/>
    <n v="11.09"/>
    <n v="9.1999999999999993"/>
    <n v="10"/>
    <n v="2.48"/>
    <x v="1"/>
    <x v="0"/>
  </r>
  <r>
    <x v="25"/>
    <n v="165"/>
    <x v="1"/>
    <x v="0"/>
    <s v="No"/>
    <n v="0"/>
    <n v="216.6"/>
    <n v="126"/>
    <n v="36.82"/>
    <n v="190.8"/>
    <n v="104"/>
    <n v="16.22"/>
    <n v="224.7"/>
    <n v="123"/>
    <n v="10.11"/>
    <n v="12.4"/>
    <n v="8"/>
    <n v="3.35"/>
    <x v="3"/>
    <x v="0"/>
  </r>
  <r>
    <x v="35"/>
    <n v="150"/>
    <x v="1"/>
    <x v="0"/>
    <s v="Yes"/>
    <n v="29"/>
    <n v="209.9"/>
    <n v="77"/>
    <n v="35.68"/>
    <n v="158"/>
    <n v="52"/>
    <n v="13.43"/>
    <n v="141.9"/>
    <n v="113"/>
    <n v="6.39"/>
    <n v="6.6"/>
    <n v="1"/>
    <n v="1.78"/>
    <x v="3"/>
    <x v="0"/>
  </r>
  <r>
    <x v="31"/>
    <n v="26"/>
    <x v="1"/>
    <x v="0"/>
    <s v="No"/>
    <n v="0"/>
    <n v="234.5"/>
    <n v="109"/>
    <n v="39.869999999999997"/>
    <n v="216.5"/>
    <n v="129"/>
    <n v="18.399999999999999"/>
    <n v="191.6"/>
    <n v="94"/>
    <n v="8.6199999999999992"/>
    <n v="3.5"/>
    <n v="6"/>
    <n v="0.95"/>
    <x v="4"/>
    <x v="0"/>
  </r>
  <r>
    <x v="43"/>
    <n v="79"/>
    <x v="2"/>
    <x v="0"/>
    <s v="Yes"/>
    <n v="31"/>
    <n v="103.1"/>
    <n v="90"/>
    <n v="17.53"/>
    <n v="243"/>
    <n v="135"/>
    <n v="20.66"/>
    <n v="76.400000000000006"/>
    <n v="92"/>
    <n v="3.44"/>
    <n v="12.2"/>
    <n v="8"/>
    <n v="3.29"/>
    <x v="4"/>
    <x v="0"/>
  </r>
  <r>
    <x v="9"/>
    <n v="69"/>
    <x v="2"/>
    <x v="1"/>
    <s v="No"/>
    <n v="0"/>
    <n v="279.8"/>
    <n v="90"/>
    <n v="47.57"/>
    <n v="248.7"/>
    <n v="91"/>
    <n v="21.14"/>
    <n v="171"/>
    <n v="118"/>
    <n v="7.69"/>
    <n v="8.4"/>
    <n v="10"/>
    <n v="2.27"/>
    <x v="2"/>
    <x v="1"/>
  </r>
  <r>
    <x v="11"/>
    <n v="95"/>
    <x v="2"/>
    <x v="1"/>
    <s v="Yes"/>
    <n v="41"/>
    <n v="136.80000000000001"/>
    <n v="91"/>
    <n v="23.26"/>
    <n v="200.8"/>
    <n v="61"/>
    <n v="17.07"/>
    <n v="133.69999999999999"/>
    <n v="67"/>
    <n v="6.02"/>
    <n v="10.3"/>
    <n v="9"/>
    <n v="2.78"/>
    <x v="5"/>
    <x v="1"/>
  </r>
  <r>
    <x v="2"/>
    <n v="157"/>
    <x v="1"/>
    <x v="0"/>
    <s v="No"/>
    <n v="0"/>
    <n v="224.5"/>
    <n v="111"/>
    <n v="38.17"/>
    <n v="200.7"/>
    <n v="99"/>
    <n v="17.059999999999999"/>
    <n v="116.6"/>
    <n v="118"/>
    <n v="5.25"/>
    <n v="11.5"/>
    <n v="2"/>
    <n v="3.11"/>
    <x v="2"/>
    <x v="0"/>
  </r>
  <r>
    <x v="11"/>
    <n v="80"/>
    <x v="1"/>
    <x v="0"/>
    <s v="No"/>
    <n v="0"/>
    <n v="160.6"/>
    <n v="103"/>
    <n v="27.3"/>
    <n v="237"/>
    <n v="109"/>
    <n v="20.149999999999999"/>
    <n v="245.1"/>
    <n v="88"/>
    <n v="11.03"/>
    <n v="10.7"/>
    <n v="1"/>
    <n v="2.89"/>
    <x v="0"/>
    <x v="0"/>
  </r>
  <r>
    <x v="16"/>
    <n v="75"/>
    <x v="2"/>
    <x v="0"/>
    <s v="Yes"/>
    <n v="37"/>
    <n v="121.5"/>
    <n v="97"/>
    <n v="20.66"/>
    <n v="271.39999999999998"/>
    <n v="110"/>
    <n v="23.07"/>
    <n v="248.7"/>
    <n v="97"/>
    <n v="11.19"/>
    <n v="11.3"/>
    <n v="5"/>
    <n v="3.05"/>
    <x v="2"/>
    <x v="0"/>
  </r>
  <r>
    <x v="44"/>
    <n v="44"/>
    <x v="2"/>
    <x v="0"/>
    <s v="No"/>
    <n v="0"/>
    <n v="228.1"/>
    <n v="121"/>
    <n v="38.78"/>
    <n v="276.5"/>
    <n v="79"/>
    <n v="23.5"/>
    <n v="279.8"/>
    <n v="77"/>
    <n v="12.59"/>
    <n v="9.9"/>
    <n v="5"/>
    <n v="2.67"/>
    <x v="2"/>
    <x v="1"/>
  </r>
  <r>
    <x v="33"/>
    <n v="101"/>
    <x v="0"/>
    <x v="0"/>
    <s v="No"/>
    <n v="0"/>
    <n v="89.7"/>
    <n v="118"/>
    <n v="15.25"/>
    <n v="260.10000000000002"/>
    <n v="79"/>
    <n v="22.11"/>
    <n v="170.1"/>
    <n v="93"/>
    <n v="7.65"/>
    <n v="13.5"/>
    <n v="11"/>
    <n v="3.65"/>
    <x v="5"/>
    <x v="1"/>
  </r>
  <r>
    <x v="9"/>
    <n v="117"/>
    <x v="0"/>
    <x v="0"/>
    <s v="Yes"/>
    <n v="14"/>
    <n v="80.2"/>
    <n v="81"/>
    <n v="13.63"/>
    <n v="219"/>
    <n v="103"/>
    <n v="18.62"/>
    <n v="122.6"/>
    <n v="102"/>
    <n v="5.52"/>
    <n v="8.6"/>
    <n v="2"/>
    <n v="2.3199999999999998"/>
    <x v="0"/>
    <x v="0"/>
  </r>
  <r>
    <x v="45"/>
    <n v="82"/>
    <x v="0"/>
    <x v="0"/>
    <s v="No"/>
    <n v="0"/>
    <n v="125.7"/>
    <n v="96"/>
    <n v="21.37"/>
    <n v="207.6"/>
    <n v="137"/>
    <n v="17.649999999999999"/>
    <n v="183.1"/>
    <n v="103"/>
    <n v="8.24"/>
    <n v="12.9"/>
    <n v="2"/>
    <n v="3.48"/>
    <x v="0"/>
    <x v="0"/>
  </r>
  <r>
    <x v="2"/>
    <n v="39"/>
    <x v="0"/>
    <x v="0"/>
    <s v="No"/>
    <n v="0"/>
    <n v="160.4"/>
    <n v="68"/>
    <n v="27.27"/>
    <n v="102.6"/>
    <n v="103"/>
    <n v="8.7200000000000006"/>
    <n v="235.3"/>
    <n v="106"/>
    <n v="10.59"/>
    <n v="9.1"/>
    <n v="5"/>
    <n v="2.46"/>
    <x v="2"/>
    <x v="0"/>
  </r>
  <r>
    <x v="24"/>
    <n v="30"/>
    <x v="1"/>
    <x v="0"/>
    <s v="No"/>
    <n v="0"/>
    <n v="169.9"/>
    <n v="144"/>
    <n v="28.88"/>
    <n v="225.2"/>
    <n v="118"/>
    <n v="19.14"/>
    <n v="169.7"/>
    <n v="93"/>
    <n v="7.64"/>
    <n v="11.4"/>
    <n v="7"/>
    <n v="3.08"/>
    <x v="0"/>
    <x v="0"/>
  </r>
  <r>
    <x v="31"/>
    <n v="63"/>
    <x v="1"/>
    <x v="0"/>
    <s v="Yes"/>
    <n v="29"/>
    <n v="142.30000000000001"/>
    <n v="107"/>
    <n v="24.19"/>
    <n v="118.7"/>
    <n v="56"/>
    <n v="10.09"/>
    <n v="240.1"/>
    <n v="91"/>
    <n v="10.8"/>
    <n v="6.6"/>
    <n v="8"/>
    <n v="1.78"/>
    <x v="0"/>
    <x v="0"/>
  </r>
  <r>
    <x v="28"/>
    <n v="111"/>
    <x v="1"/>
    <x v="0"/>
    <s v="No"/>
    <n v="0"/>
    <n v="146.19999999999999"/>
    <n v="55"/>
    <n v="24.85"/>
    <n v="261.5"/>
    <n v="83"/>
    <n v="22.23"/>
    <n v="163.19999999999999"/>
    <n v="116"/>
    <n v="7.34"/>
    <n v="8.6999999999999993"/>
    <n v="3"/>
    <n v="2.35"/>
    <x v="4"/>
    <x v="0"/>
  </r>
  <r>
    <x v="45"/>
    <n v="91"/>
    <x v="2"/>
    <x v="0"/>
    <s v="No"/>
    <n v="0"/>
    <n v="231.8"/>
    <n v="120"/>
    <n v="39.409999999999997"/>
    <n v="150.6"/>
    <n v="106"/>
    <n v="12.8"/>
    <n v="269.2"/>
    <n v="129"/>
    <n v="12.11"/>
    <n v="11.6"/>
    <n v="7"/>
    <n v="3.13"/>
    <x v="4"/>
    <x v="0"/>
  </r>
  <r>
    <x v="38"/>
    <n v="105"/>
    <x v="1"/>
    <x v="1"/>
    <s v="Yes"/>
    <n v="29"/>
    <n v="220.7"/>
    <n v="82"/>
    <n v="37.520000000000003"/>
    <n v="217.7"/>
    <n v="110"/>
    <n v="18.5"/>
    <n v="190.5"/>
    <n v="100"/>
    <n v="8.57"/>
    <n v="13.2"/>
    <n v="6"/>
    <n v="3.56"/>
    <x v="0"/>
    <x v="1"/>
  </r>
  <r>
    <x v="18"/>
    <n v="166"/>
    <x v="0"/>
    <x v="1"/>
    <s v="Yes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x v="2"/>
    <x v="0"/>
  </r>
  <r>
    <x v="29"/>
    <n v="79"/>
    <x v="2"/>
    <x v="0"/>
    <s v="No"/>
    <n v="0"/>
    <n v="130.19999999999999"/>
    <n v="119"/>
    <n v="22.13"/>
    <n v="290.89999999999998"/>
    <n v="121"/>
    <n v="24.73"/>
    <n v="194.8"/>
    <n v="140"/>
    <n v="8.77"/>
    <n v="14"/>
    <n v="6"/>
    <n v="3.78"/>
    <x v="4"/>
    <x v="0"/>
  </r>
  <r>
    <x v="40"/>
    <n v="105"/>
    <x v="0"/>
    <x v="0"/>
    <s v="Yes"/>
    <n v="33"/>
    <n v="209.6"/>
    <n v="68"/>
    <n v="35.630000000000003"/>
    <n v="146.9"/>
    <n v="140"/>
    <n v="12.49"/>
    <n v="121"/>
    <n v="131"/>
    <n v="5.44"/>
    <n v="10.6"/>
    <n v="3"/>
    <n v="2.86"/>
    <x v="2"/>
    <x v="0"/>
  </r>
  <r>
    <x v="0"/>
    <n v="172"/>
    <x v="1"/>
    <x v="0"/>
    <s v="No"/>
    <n v="0"/>
    <n v="215.7"/>
    <n v="140"/>
    <n v="36.67"/>
    <n v="146.30000000000001"/>
    <n v="84"/>
    <n v="12.44"/>
    <n v="264.60000000000002"/>
    <n v="83"/>
    <n v="11.91"/>
    <n v="7.1"/>
    <n v="1"/>
    <n v="1.92"/>
    <x v="4"/>
    <x v="0"/>
  </r>
  <r>
    <x v="30"/>
    <n v="121"/>
    <x v="0"/>
    <x v="0"/>
    <s v="No"/>
    <n v="0"/>
    <n v="150.69999999999999"/>
    <n v="105"/>
    <n v="25.62"/>
    <n v="197.3"/>
    <n v="133"/>
    <n v="16.77"/>
    <n v="169"/>
    <n v="116"/>
    <n v="7.61"/>
    <n v="9.1999999999999993"/>
    <n v="15"/>
    <n v="2.48"/>
    <x v="0"/>
    <x v="0"/>
  </r>
  <r>
    <x v="46"/>
    <n v="88"/>
    <x v="1"/>
    <x v="0"/>
    <s v="No"/>
    <n v="0"/>
    <n v="161.5"/>
    <n v="92"/>
    <n v="27.46"/>
    <n v="173.5"/>
    <n v="108"/>
    <n v="14.75"/>
    <n v="206.2"/>
    <n v="95"/>
    <n v="9.2799999999999994"/>
    <n v="7.9"/>
    <n v="4"/>
    <n v="2.13"/>
    <x v="2"/>
    <x v="0"/>
  </r>
  <r>
    <x v="44"/>
    <n v="153"/>
    <x v="0"/>
    <x v="0"/>
    <s v="Yes"/>
    <n v="28"/>
    <n v="235.6"/>
    <n v="74"/>
    <n v="40.049999999999997"/>
    <n v="227.9"/>
    <n v="37"/>
    <n v="19.37"/>
    <n v="170.3"/>
    <n v="103"/>
    <n v="7.66"/>
    <n v="15.4"/>
    <n v="9"/>
    <n v="4.16"/>
    <x v="3"/>
    <x v="0"/>
  </r>
  <r>
    <x v="47"/>
    <n v="54"/>
    <x v="1"/>
    <x v="0"/>
    <s v="Yes"/>
    <n v="39"/>
    <n v="206.9"/>
    <n v="143"/>
    <n v="35.17"/>
    <n v="127.8"/>
    <n v="72"/>
    <n v="10.86"/>
    <n v="199.2"/>
    <n v="120"/>
    <n v="8.9600000000000009"/>
    <n v="9.1999999999999993"/>
    <n v="1"/>
    <n v="2.48"/>
    <x v="4"/>
    <x v="0"/>
  </r>
  <r>
    <x v="17"/>
    <n v="79"/>
    <x v="2"/>
    <x v="0"/>
    <s v="No"/>
    <n v="0"/>
    <n v="157.6"/>
    <n v="85"/>
    <n v="26.79"/>
    <n v="194.1"/>
    <n v="92"/>
    <n v="16.5"/>
    <n v="231.5"/>
    <n v="86"/>
    <n v="10.42"/>
    <n v="9.4"/>
    <n v="10"/>
    <n v="2.54"/>
    <x v="5"/>
    <x v="1"/>
  </r>
  <r>
    <x v="10"/>
    <n v="55"/>
    <x v="1"/>
    <x v="0"/>
    <s v="No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x v="3"/>
    <x v="0"/>
  </r>
  <r>
    <x v="12"/>
    <n v="109"/>
    <x v="0"/>
    <x v="0"/>
    <s v="No"/>
    <n v="0"/>
    <n v="264.7"/>
    <n v="69"/>
    <n v="45"/>
    <n v="305"/>
    <n v="120"/>
    <n v="25.93"/>
    <n v="197.4"/>
    <n v="86"/>
    <n v="8.8800000000000008"/>
    <n v="9.5"/>
    <n v="9"/>
    <n v="2.57"/>
    <x v="0"/>
    <x v="1"/>
  </r>
  <r>
    <x v="32"/>
    <n v="65"/>
    <x v="0"/>
    <x v="0"/>
    <s v="Yes"/>
    <n v="31"/>
    <n v="282.3"/>
    <n v="70"/>
    <n v="47.99"/>
    <n v="152"/>
    <n v="89"/>
    <n v="12.92"/>
    <n v="225.5"/>
    <n v="93"/>
    <n v="10.15"/>
    <n v="12"/>
    <n v="4"/>
    <n v="3.24"/>
    <x v="0"/>
    <x v="0"/>
  </r>
  <r>
    <x v="12"/>
    <n v="27"/>
    <x v="2"/>
    <x v="0"/>
    <s v="No"/>
    <n v="0"/>
    <n v="193.8"/>
    <n v="102"/>
    <n v="32.950000000000003"/>
    <n v="118.9"/>
    <n v="104"/>
    <n v="10.11"/>
    <n v="135.9"/>
    <n v="124"/>
    <n v="6.12"/>
    <n v="9.1999999999999993"/>
    <n v="3"/>
    <n v="2.48"/>
    <x v="3"/>
    <x v="0"/>
  </r>
  <r>
    <x v="44"/>
    <n v="32"/>
    <x v="0"/>
    <x v="0"/>
    <s v="Yes"/>
    <n v="26"/>
    <n v="266.7"/>
    <n v="109"/>
    <n v="45.34"/>
    <n v="232.3"/>
    <n v="107"/>
    <n v="19.75"/>
    <n v="212.8"/>
    <n v="98"/>
    <n v="9.58"/>
    <n v="16.3"/>
    <n v="4"/>
    <n v="4.4000000000000004"/>
    <x v="0"/>
    <x v="0"/>
  </r>
  <r>
    <x v="34"/>
    <n v="3"/>
    <x v="1"/>
    <x v="0"/>
    <s v="Yes"/>
    <n v="36"/>
    <n v="118.1"/>
    <n v="117"/>
    <n v="20.079999999999998"/>
    <n v="221.5"/>
    <n v="125"/>
    <n v="18.829999999999998"/>
    <n v="103.9"/>
    <n v="89"/>
    <n v="4.68"/>
    <n v="11.9"/>
    <n v="6"/>
    <n v="3.21"/>
    <x v="2"/>
    <x v="0"/>
  </r>
  <r>
    <x v="36"/>
    <n v="119"/>
    <x v="1"/>
    <x v="0"/>
    <s v="No"/>
    <n v="0"/>
    <n v="176.8"/>
    <n v="90"/>
    <n v="30.06"/>
    <n v="224.7"/>
    <n v="81"/>
    <n v="19.100000000000001"/>
    <n v="204.6"/>
    <n v="77"/>
    <n v="9.2100000000000009"/>
    <n v="7.5"/>
    <n v="15"/>
    <n v="2.0299999999999998"/>
    <x v="0"/>
    <x v="0"/>
  </r>
  <r>
    <x v="0"/>
    <n v="43"/>
    <x v="1"/>
    <x v="0"/>
    <s v="No"/>
    <n v="0"/>
    <n v="241.9"/>
    <n v="101"/>
    <n v="41.12"/>
    <n v="129.4"/>
    <n v="121"/>
    <n v="11"/>
    <n v="264.8"/>
    <n v="104"/>
    <n v="11.92"/>
    <n v="5.9"/>
    <n v="3"/>
    <n v="1.59"/>
    <x v="0"/>
    <x v="0"/>
  </r>
  <r>
    <x v="30"/>
    <n v="116"/>
    <x v="2"/>
    <x v="0"/>
    <s v="No"/>
    <n v="0"/>
    <n v="189.5"/>
    <n v="90"/>
    <n v="32.22"/>
    <n v="189.8"/>
    <n v="118"/>
    <n v="16.13"/>
    <n v="205.8"/>
    <n v="83"/>
    <n v="9.26"/>
    <n v="13.1"/>
    <n v="2"/>
    <n v="3.54"/>
    <x v="0"/>
    <x v="0"/>
  </r>
  <r>
    <x v="44"/>
    <n v="107"/>
    <x v="1"/>
    <x v="0"/>
    <s v="No"/>
    <n v="0"/>
    <n v="123.1"/>
    <n v="100"/>
    <n v="20.93"/>
    <n v="158.4"/>
    <n v="82"/>
    <n v="13.46"/>
    <n v="256.10000000000002"/>
    <n v="82"/>
    <n v="11.52"/>
    <n v="9.3000000000000007"/>
    <n v="5"/>
    <n v="2.5099999999999998"/>
    <x v="3"/>
    <x v="0"/>
  </r>
  <r>
    <x v="46"/>
    <n v="123"/>
    <x v="0"/>
    <x v="0"/>
    <s v="No"/>
    <n v="0"/>
    <n v="159.1"/>
    <n v="94"/>
    <n v="27.05"/>
    <n v="241.6"/>
    <n v="119"/>
    <n v="20.54"/>
    <n v="202.4"/>
    <n v="120"/>
    <n v="9.11"/>
    <n v="6.5"/>
    <n v="1"/>
    <n v="1.76"/>
    <x v="0"/>
    <x v="0"/>
  </r>
  <r>
    <x v="5"/>
    <n v="110"/>
    <x v="0"/>
    <x v="0"/>
    <s v="No"/>
    <n v="0"/>
    <n v="100.1"/>
    <n v="90"/>
    <n v="17.02"/>
    <n v="233.3"/>
    <n v="93"/>
    <n v="19.829999999999998"/>
    <n v="204.4"/>
    <n v="57"/>
    <n v="9.1999999999999993"/>
    <n v="11.1"/>
    <n v="8"/>
    <n v="3"/>
    <x v="4"/>
    <x v="0"/>
  </r>
  <r>
    <x v="40"/>
    <n v="176"/>
    <x v="1"/>
    <x v="0"/>
    <s v="No"/>
    <n v="0"/>
    <n v="223.2"/>
    <n v="76"/>
    <n v="37.94"/>
    <n v="214.4"/>
    <n v="131"/>
    <n v="18.22"/>
    <n v="154.4"/>
    <n v="80"/>
    <n v="6.95"/>
    <n v="10.1"/>
    <n v="2"/>
    <n v="2.73"/>
    <x v="4"/>
    <x v="0"/>
  </r>
  <r>
    <x v="10"/>
    <n v="13"/>
    <x v="2"/>
    <x v="0"/>
    <s v="Yes"/>
    <n v="21"/>
    <n v="315.60000000000002"/>
    <n v="105"/>
    <n v="53.65"/>
    <n v="208.9"/>
    <n v="71"/>
    <n v="17.760000000000002"/>
    <n v="260.10000000000002"/>
    <n v="123"/>
    <n v="11.7"/>
    <n v="12.1"/>
    <n v="3"/>
    <n v="3.27"/>
    <x v="4"/>
    <x v="0"/>
  </r>
  <r>
    <x v="30"/>
    <n v="88"/>
    <x v="1"/>
    <x v="0"/>
    <s v="No"/>
    <n v="0"/>
    <n v="189.8"/>
    <n v="111"/>
    <n v="32.270000000000003"/>
    <n v="197.3"/>
    <n v="101"/>
    <n v="16.77"/>
    <n v="234.5"/>
    <n v="111"/>
    <n v="10.55"/>
    <n v="14.9"/>
    <n v="3"/>
    <n v="4.0199999999999996"/>
    <x v="2"/>
    <x v="0"/>
  </r>
  <r>
    <x v="42"/>
    <n v="92"/>
    <x v="2"/>
    <x v="0"/>
    <s v="Yes"/>
    <n v="29"/>
    <n v="155.4"/>
    <n v="110"/>
    <n v="26.42"/>
    <n v="188.5"/>
    <n v="104"/>
    <n v="16.02"/>
    <n v="254.9"/>
    <n v="118"/>
    <n v="11.47"/>
    <n v="8"/>
    <n v="4"/>
    <n v="2.16"/>
    <x v="4"/>
    <x v="0"/>
  </r>
  <r>
    <x v="9"/>
    <n v="165"/>
    <x v="2"/>
    <x v="0"/>
    <s v="No"/>
    <n v="0"/>
    <n v="154.19999999999999"/>
    <n v="91"/>
    <n v="26.21"/>
    <n v="268.60000000000002"/>
    <n v="108"/>
    <n v="22.83"/>
    <n v="188.8"/>
    <n v="99"/>
    <n v="8.5"/>
    <n v="10.9"/>
    <n v="4"/>
    <n v="2.94"/>
    <x v="6"/>
    <x v="0"/>
  </r>
  <r>
    <x v="47"/>
    <n v="156"/>
    <x v="1"/>
    <x v="0"/>
    <s v="No"/>
    <n v="0"/>
    <n v="178.8"/>
    <n v="94"/>
    <n v="30.4"/>
    <n v="178.4"/>
    <n v="97"/>
    <n v="15.16"/>
    <n v="169.2"/>
    <n v="77"/>
    <n v="7.61"/>
    <n v="7.5"/>
    <n v="3"/>
    <n v="2.0299999999999998"/>
    <x v="0"/>
    <x v="0"/>
  </r>
  <r>
    <x v="18"/>
    <n v="63"/>
    <x v="0"/>
    <x v="0"/>
    <s v="No"/>
    <n v="0"/>
    <n v="149.30000000000001"/>
    <n v="104"/>
    <n v="25.38"/>
    <n v="273.60000000000002"/>
    <n v="75"/>
    <n v="23.26"/>
    <n v="206.6"/>
    <n v="72"/>
    <n v="9.3000000000000007"/>
    <n v="9.1"/>
    <n v="4"/>
    <n v="2.46"/>
    <x v="3"/>
    <x v="0"/>
  </r>
  <r>
    <x v="7"/>
    <n v="83"/>
    <x v="1"/>
    <x v="1"/>
    <s v="Yes"/>
    <n v="32"/>
    <n v="94.7"/>
    <n v="111"/>
    <n v="16.100000000000001"/>
    <n v="154.4"/>
    <n v="98"/>
    <n v="13.12"/>
    <n v="200.4"/>
    <n v="109"/>
    <n v="9.02"/>
    <n v="10.6"/>
    <n v="6"/>
    <n v="2.86"/>
    <x v="2"/>
    <x v="0"/>
  </r>
  <r>
    <x v="8"/>
    <n v="158"/>
    <x v="1"/>
    <x v="0"/>
    <s v="No"/>
    <n v="0"/>
    <n v="222.8"/>
    <n v="101"/>
    <n v="37.880000000000003"/>
    <n v="203"/>
    <n v="128"/>
    <n v="17.260000000000002"/>
    <n v="210.6"/>
    <n v="106"/>
    <n v="9.48"/>
    <n v="6.9"/>
    <n v="2"/>
    <n v="1.86"/>
    <x v="2"/>
    <x v="0"/>
  </r>
  <r>
    <x v="44"/>
    <n v="115"/>
    <x v="2"/>
    <x v="1"/>
    <s v="No"/>
    <n v="0"/>
    <n v="249.9"/>
    <n v="95"/>
    <n v="42.48"/>
    <n v="242.5"/>
    <n v="104"/>
    <n v="20.61"/>
    <n v="151.69999999999999"/>
    <n v="121"/>
    <n v="6.83"/>
    <n v="15.3"/>
    <n v="6"/>
    <n v="4.13"/>
    <x v="0"/>
    <x v="1"/>
  </r>
  <r>
    <x v="37"/>
    <n v="103"/>
    <x v="2"/>
    <x v="0"/>
    <s v="Yes"/>
    <n v="36"/>
    <n v="87.2"/>
    <n v="92"/>
    <n v="14.82"/>
    <n v="169.3"/>
    <n v="110"/>
    <n v="14.39"/>
    <n v="166.7"/>
    <n v="80"/>
    <n v="7.5"/>
    <n v="10.9"/>
    <n v="5"/>
    <n v="2.94"/>
    <x v="6"/>
    <x v="1"/>
  </r>
  <r>
    <x v="42"/>
    <n v="64"/>
    <x v="1"/>
    <x v="0"/>
    <s v="No"/>
    <n v="0"/>
    <n v="224.8"/>
    <n v="111"/>
    <n v="38.22"/>
    <n v="190"/>
    <n v="101"/>
    <n v="16.149999999999999"/>
    <n v="221.4"/>
    <n v="110"/>
    <n v="9.9600000000000009"/>
    <n v="9.1999999999999993"/>
    <n v="2"/>
    <n v="2.48"/>
    <x v="0"/>
    <x v="0"/>
  </r>
  <r>
    <x v="27"/>
    <n v="86"/>
    <x v="2"/>
    <x v="0"/>
    <s v="Yes"/>
    <n v="39"/>
    <n v="261.2"/>
    <n v="122"/>
    <n v="44.4"/>
    <n v="214.2"/>
    <n v="101"/>
    <n v="18.21"/>
    <n v="154.9"/>
    <n v="101"/>
    <n v="6.97"/>
    <n v="12.7"/>
    <n v="5"/>
    <n v="3.43"/>
    <x v="2"/>
    <x v="0"/>
  </r>
  <r>
    <x v="40"/>
    <n v="151"/>
    <x v="1"/>
    <x v="0"/>
    <s v="Yes"/>
    <n v="26"/>
    <n v="196.5"/>
    <n v="98"/>
    <n v="33.409999999999997"/>
    <n v="175.8"/>
    <n v="111"/>
    <n v="14.94"/>
    <n v="221.8"/>
    <n v="124"/>
    <n v="9.98"/>
    <n v="13.4"/>
    <n v="5"/>
    <n v="3.62"/>
    <x v="3"/>
    <x v="0"/>
  </r>
  <r>
    <x v="24"/>
    <n v="87"/>
    <x v="2"/>
    <x v="1"/>
    <s v="No"/>
    <n v="0"/>
    <n v="167.3"/>
    <n v="119"/>
    <n v="28.44"/>
    <n v="198.5"/>
    <n v="119"/>
    <n v="16.87"/>
    <n v="133.1"/>
    <n v="88"/>
    <n v="5.99"/>
    <n v="11"/>
    <n v="6"/>
    <n v="2.97"/>
    <x v="0"/>
    <x v="0"/>
  </r>
  <r>
    <x v="26"/>
    <n v="90"/>
    <x v="1"/>
    <x v="0"/>
    <s v="No"/>
    <n v="0"/>
    <n v="109.6"/>
    <n v="88"/>
    <n v="18.63"/>
    <n v="137.6"/>
    <n v="108"/>
    <n v="11.7"/>
    <n v="159.69999999999999"/>
    <n v="121"/>
    <n v="7.19"/>
    <n v="11"/>
    <n v="5"/>
    <n v="2.97"/>
    <x v="2"/>
    <x v="0"/>
  </r>
  <r>
    <x v="0"/>
    <n v="108"/>
    <x v="2"/>
    <x v="0"/>
    <s v="Yes"/>
    <n v="30"/>
    <n v="276.60000000000002"/>
    <n v="99"/>
    <n v="47.02"/>
    <n v="220.1"/>
    <n v="113"/>
    <n v="18.71"/>
    <n v="177.9"/>
    <n v="95"/>
    <n v="8.01"/>
    <n v="9.8000000000000007"/>
    <n v="6"/>
    <n v="2.65"/>
    <x v="2"/>
    <x v="0"/>
  </r>
  <r>
    <x v="48"/>
    <n v="33"/>
    <x v="1"/>
    <x v="0"/>
    <s v="Yes"/>
    <n v="35"/>
    <n v="186.8"/>
    <n v="124"/>
    <n v="31.76"/>
    <n v="261"/>
    <n v="69"/>
    <n v="22.19"/>
    <n v="317.8"/>
    <n v="103"/>
    <n v="14.3"/>
    <n v="15"/>
    <n v="5"/>
    <n v="4.05"/>
    <x v="3"/>
    <x v="0"/>
  </r>
  <r>
    <x v="9"/>
    <n v="149"/>
    <x v="1"/>
    <x v="1"/>
    <s v="Yes"/>
    <n v="28"/>
    <n v="126.9"/>
    <n v="97"/>
    <n v="21.57"/>
    <n v="166.9"/>
    <n v="102"/>
    <n v="14.19"/>
    <n v="145.19999999999999"/>
    <n v="77"/>
    <n v="6.53"/>
    <n v="8.8000000000000007"/>
    <n v="3"/>
    <n v="2.38"/>
    <x v="5"/>
    <x v="1"/>
  </r>
  <r>
    <x v="12"/>
    <n v="106"/>
    <x v="2"/>
    <x v="0"/>
    <s v="No"/>
    <n v="0"/>
    <n v="169.4"/>
    <n v="107"/>
    <n v="28.8"/>
    <n v="197.2"/>
    <n v="71"/>
    <n v="16.760000000000002"/>
    <n v="202.2"/>
    <n v="79"/>
    <n v="9.1"/>
    <n v="10.7"/>
    <n v="4"/>
    <n v="2.89"/>
    <x v="0"/>
    <x v="0"/>
  </r>
  <r>
    <x v="46"/>
    <n v="167"/>
    <x v="0"/>
    <x v="1"/>
    <s v="No"/>
    <n v="0"/>
    <n v="219.1"/>
    <n v="100"/>
    <n v="37.25"/>
    <n v="242.9"/>
    <n v="90"/>
    <n v="20.65"/>
    <n v="168.9"/>
    <n v="101"/>
    <n v="7.6"/>
    <n v="10.1"/>
    <n v="4"/>
    <n v="2.73"/>
    <x v="2"/>
    <x v="0"/>
  </r>
  <r>
    <x v="9"/>
    <n v="35"/>
    <x v="2"/>
    <x v="0"/>
    <s v="Yes"/>
    <n v="27"/>
    <n v="241.7"/>
    <n v="87"/>
    <n v="41.09"/>
    <n v="142"/>
    <n v="101"/>
    <n v="12.07"/>
    <n v="288.89999999999998"/>
    <n v="68"/>
    <n v="13"/>
    <n v="9.4"/>
    <n v="4"/>
    <n v="2.54"/>
    <x v="0"/>
    <x v="0"/>
  </r>
  <r>
    <x v="21"/>
    <n v="107"/>
    <x v="1"/>
    <x v="0"/>
    <s v="Yes"/>
    <n v="22"/>
    <n v="281.10000000000002"/>
    <n v="83"/>
    <n v="47.79"/>
    <n v="143.69999999999999"/>
    <n v="130"/>
    <n v="12.21"/>
    <n v="239.4"/>
    <n v="128"/>
    <n v="10.77"/>
    <n v="11.2"/>
    <n v="9"/>
    <n v="3.02"/>
    <x v="0"/>
    <x v="0"/>
  </r>
  <r>
    <x v="16"/>
    <n v="92"/>
    <x v="1"/>
    <x v="1"/>
    <s v="Yes"/>
    <n v="45"/>
    <n v="281.10000000000002"/>
    <n v="88"/>
    <n v="47.79"/>
    <n v="198"/>
    <n v="103"/>
    <n v="16.829999999999998"/>
    <n v="94.3"/>
    <n v="76"/>
    <n v="4.24"/>
    <n v="7.5"/>
    <n v="3"/>
    <n v="2.0299999999999998"/>
    <x v="3"/>
    <x v="0"/>
  </r>
  <r>
    <x v="11"/>
    <n v="38"/>
    <x v="1"/>
    <x v="0"/>
    <s v="No"/>
    <n v="0"/>
    <n v="137.80000000000001"/>
    <n v="86"/>
    <n v="23.43"/>
    <n v="286.3"/>
    <n v="76"/>
    <n v="24.34"/>
    <n v="167"/>
    <n v="77"/>
    <n v="7.52"/>
    <n v="14.1"/>
    <n v="3"/>
    <n v="3.81"/>
    <x v="2"/>
    <x v="0"/>
  </r>
  <r>
    <x v="8"/>
    <n v="68"/>
    <x v="0"/>
    <x v="1"/>
    <s v="No"/>
    <n v="0"/>
    <n v="148.5"/>
    <n v="126"/>
    <n v="25.25"/>
    <n v="219.4"/>
    <n v="125"/>
    <n v="18.649999999999999"/>
    <n v="198.5"/>
    <n v="121"/>
    <n v="8.93"/>
    <n v="14.5"/>
    <n v="7"/>
    <n v="3.92"/>
    <x v="0"/>
    <x v="1"/>
  </r>
  <r>
    <x v="19"/>
    <n v="123"/>
    <x v="2"/>
    <x v="0"/>
    <s v="No"/>
    <n v="0"/>
    <n v="194"/>
    <n v="118"/>
    <n v="32.979999999999997"/>
    <n v="242"/>
    <n v="114"/>
    <n v="20.57"/>
    <n v="146.30000000000001"/>
    <n v="108"/>
    <n v="6.58"/>
    <n v="12.1"/>
    <n v="4"/>
    <n v="3.27"/>
    <x v="0"/>
    <x v="0"/>
  </r>
  <r>
    <x v="18"/>
    <n v="75"/>
    <x v="2"/>
    <x v="0"/>
    <s v="Yes"/>
    <n v="41"/>
    <n v="130.9"/>
    <n v="115"/>
    <n v="22.25"/>
    <n v="203.4"/>
    <n v="110"/>
    <n v="17.29"/>
    <n v="171.7"/>
    <n v="68"/>
    <n v="7.73"/>
    <n v="12.4"/>
    <n v="4"/>
    <n v="3.35"/>
    <x v="0"/>
    <x v="0"/>
  </r>
  <r>
    <x v="24"/>
    <n v="153"/>
    <x v="0"/>
    <x v="0"/>
    <s v="No"/>
    <n v="0"/>
    <n v="185.3"/>
    <n v="127"/>
    <n v="31.5"/>
    <n v="208"/>
    <n v="73"/>
    <n v="17.68"/>
    <n v="206.1"/>
    <n v="124"/>
    <n v="9.27"/>
    <n v="15.1"/>
    <n v="3"/>
    <n v="4.08"/>
    <x v="0"/>
    <x v="0"/>
  </r>
  <r>
    <x v="29"/>
    <n v="143"/>
    <x v="1"/>
    <x v="0"/>
    <s v="No"/>
    <n v="0"/>
    <n v="119.1"/>
    <n v="117"/>
    <n v="20.25"/>
    <n v="287.7"/>
    <n v="136"/>
    <n v="24.45"/>
    <n v="223"/>
    <n v="100"/>
    <n v="10.039999999999999"/>
    <n v="12.2"/>
    <n v="4"/>
    <n v="3.29"/>
    <x v="3"/>
    <x v="0"/>
  </r>
  <r>
    <x v="3"/>
    <n v="87"/>
    <x v="0"/>
    <x v="0"/>
    <s v="No"/>
    <n v="0"/>
    <n v="322.5"/>
    <n v="106"/>
    <n v="54.83"/>
    <n v="204.6"/>
    <n v="93"/>
    <n v="17.39"/>
    <n v="186.2"/>
    <n v="128"/>
    <n v="8.3800000000000008"/>
    <n v="9.4"/>
    <n v="4"/>
    <n v="2.54"/>
    <x v="2"/>
    <x v="1"/>
  </r>
  <r>
    <x v="1"/>
    <n v="100"/>
    <x v="2"/>
    <x v="0"/>
    <s v="No"/>
    <n v="0"/>
    <n v="216.2"/>
    <n v="107"/>
    <n v="36.75"/>
    <n v="215.6"/>
    <n v="84"/>
    <n v="18.329999999999998"/>
    <n v="138.4"/>
    <n v="127"/>
    <n v="6.23"/>
    <n v="10.199999999999999"/>
    <n v="3"/>
    <n v="2.75"/>
    <x v="3"/>
    <x v="0"/>
  </r>
  <r>
    <x v="29"/>
    <n v="144"/>
    <x v="1"/>
    <x v="0"/>
    <s v="Yes"/>
    <n v="51"/>
    <n v="283.89999999999998"/>
    <n v="98"/>
    <n v="48.26"/>
    <n v="192"/>
    <n v="109"/>
    <n v="16.32"/>
    <n v="196.3"/>
    <n v="85"/>
    <n v="8.83"/>
    <n v="10"/>
    <n v="4"/>
    <n v="2.7"/>
    <x v="0"/>
    <x v="0"/>
  </r>
  <r>
    <x v="46"/>
    <n v="70"/>
    <x v="1"/>
    <x v="0"/>
    <s v="Yes"/>
    <n v="31"/>
    <n v="125.9"/>
    <n v="101"/>
    <n v="21.4"/>
    <n v="196.4"/>
    <n v="102"/>
    <n v="16.690000000000001"/>
    <n v="252.7"/>
    <n v="75"/>
    <n v="11.37"/>
    <n v="10.3"/>
    <n v="4"/>
    <n v="2.78"/>
    <x v="0"/>
    <x v="0"/>
  </r>
  <r>
    <x v="13"/>
    <n v="136"/>
    <x v="0"/>
    <x v="1"/>
    <s v="No"/>
    <n v="0"/>
    <n v="199.6"/>
    <n v="89"/>
    <n v="33.93"/>
    <n v="211.4"/>
    <n v="96"/>
    <n v="17.97"/>
    <n v="72.400000000000006"/>
    <n v="84"/>
    <n v="3.26"/>
    <n v="11"/>
    <n v="4"/>
    <n v="2.97"/>
    <x v="4"/>
    <x v="1"/>
  </r>
  <r>
    <x v="21"/>
    <n v="120"/>
    <x v="1"/>
    <x v="0"/>
    <s v="Yes"/>
    <n v="24"/>
    <n v="212.7"/>
    <n v="73"/>
    <n v="36.159999999999997"/>
    <n v="257.5"/>
    <n v="103"/>
    <n v="21.89"/>
    <n v="227.8"/>
    <n v="119"/>
    <n v="10.25"/>
    <n v="9.6999999999999993"/>
    <n v="13"/>
    <n v="2.62"/>
    <x v="2"/>
    <x v="0"/>
  </r>
  <r>
    <x v="28"/>
    <n v="104"/>
    <x v="0"/>
    <x v="0"/>
    <s v="No"/>
    <n v="0"/>
    <n v="183.6"/>
    <n v="133"/>
    <n v="31.21"/>
    <n v="120.7"/>
    <n v="98"/>
    <n v="10.26"/>
    <n v="215.1"/>
    <n v="112"/>
    <n v="9.68"/>
    <n v="12.7"/>
    <n v="2"/>
    <n v="3.43"/>
    <x v="0"/>
    <x v="0"/>
  </r>
  <r>
    <x v="17"/>
    <n v="75"/>
    <x v="2"/>
    <x v="0"/>
    <s v="Yes"/>
    <n v="38"/>
    <n v="163.6"/>
    <n v="132"/>
    <n v="27.81"/>
    <n v="146.69999999999999"/>
    <n v="113"/>
    <n v="12.47"/>
    <n v="345.8"/>
    <n v="115"/>
    <n v="15.56"/>
    <n v="13.1"/>
    <n v="3"/>
    <n v="3.54"/>
    <x v="4"/>
    <x v="0"/>
  </r>
  <r>
    <x v="19"/>
    <n v="127"/>
    <x v="2"/>
    <x v="1"/>
    <s v="No"/>
    <n v="0"/>
    <n v="180.9"/>
    <n v="114"/>
    <n v="30.75"/>
    <n v="209.5"/>
    <n v="118"/>
    <n v="17.809999999999999"/>
    <n v="249.9"/>
    <n v="105"/>
    <n v="11.25"/>
    <n v="7.4"/>
    <n v="4"/>
    <n v="2"/>
    <x v="2"/>
    <x v="0"/>
  </r>
  <r>
    <x v="7"/>
    <n v="122"/>
    <x v="2"/>
    <x v="0"/>
    <s v="Yes"/>
    <n v="33"/>
    <n v="270.8"/>
    <n v="96"/>
    <n v="46.04"/>
    <n v="220.4"/>
    <n v="110"/>
    <n v="18.73"/>
    <n v="169.9"/>
    <n v="104"/>
    <n v="7.65"/>
    <n v="11.8"/>
    <n v="8"/>
    <n v="3.19"/>
    <x v="1"/>
    <x v="0"/>
  </r>
  <r>
    <x v="11"/>
    <n v="124"/>
    <x v="1"/>
    <x v="0"/>
    <s v="No"/>
    <n v="0"/>
    <n v="178.4"/>
    <n v="72"/>
    <n v="30.33"/>
    <n v="233.6"/>
    <n v="134"/>
    <n v="19.86"/>
    <n v="179.4"/>
    <n v="91"/>
    <n v="8.07"/>
    <n v="12"/>
    <n v="2"/>
    <n v="3.24"/>
    <x v="3"/>
    <x v="0"/>
  </r>
  <r>
    <x v="21"/>
    <n v="167"/>
    <x v="1"/>
    <x v="1"/>
    <s v="No"/>
    <n v="0"/>
    <n v="244.8"/>
    <n v="91"/>
    <n v="41.62"/>
    <n v="60.8"/>
    <n v="105"/>
    <n v="5.17"/>
    <n v="176.7"/>
    <n v="110"/>
    <n v="7.95"/>
    <n v="10.7"/>
    <n v="3"/>
    <n v="2.89"/>
    <x v="2"/>
    <x v="0"/>
  </r>
  <r>
    <x v="8"/>
    <n v="89"/>
    <x v="1"/>
    <x v="0"/>
    <s v="Yes"/>
    <n v="32"/>
    <n v="209.9"/>
    <n v="113"/>
    <n v="35.68"/>
    <n v="249.8"/>
    <n v="104"/>
    <n v="21.23"/>
    <n v="224.2"/>
    <n v="92"/>
    <n v="10.09"/>
    <n v="8.6999999999999993"/>
    <n v="7"/>
    <n v="2.35"/>
    <x v="0"/>
    <x v="0"/>
  </r>
  <r>
    <x v="11"/>
    <n v="73"/>
    <x v="0"/>
    <x v="0"/>
    <s v="No"/>
    <n v="0"/>
    <n v="213"/>
    <n v="95"/>
    <n v="36.21"/>
    <n v="188.8"/>
    <n v="104"/>
    <n v="16.05"/>
    <n v="136.19999999999999"/>
    <n v="89"/>
    <n v="6.13"/>
    <n v="13.5"/>
    <n v="3"/>
    <n v="3.65"/>
    <x v="3"/>
    <x v="0"/>
  </r>
  <r>
    <x v="27"/>
    <n v="1"/>
    <x v="1"/>
    <x v="0"/>
    <s v="No"/>
    <n v="0"/>
    <n v="144.80000000000001"/>
    <n v="107"/>
    <n v="24.62"/>
    <n v="112.5"/>
    <n v="66"/>
    <n v="9.56"/>
    <n v="218.7"/>
    <n v="79"/>
    <n v="9.84"/>
    <n v="13.8"/>
    <n v="3"/>
    <n v="3.73"/>
    <x v="0"/>
    <x v="0"/>
  </r>
  <r>
    <x v="14"/>
    <n v="60"/>
    <x v="0"/>
    <x v="0"/>
    <s v="No"/>
    <n v="0"/>
    <n v="135.4"/>
    <n v="134"/>
    <n v="23.02"/>
    <n v="205.9"/>
    <n v="85"/>
    <n v="17.5"/>
    <n v="204"/>
    <n v="103"/>
    <n v="9.18"/>
    <n v="7.9"/>
    <n v="4"/>
    <n v="2.13"/>
    <x v="0"/>
    <x v="0"/>
  </r>
  <r>
    <x v="44"/>
    <n v="77"/>
    <x v="2"/>
    <x v="0"/>
    <s v="No"/>
    <n v="0"/>
    <n v="67.7"/>
    <n v="68"/>
    <n v="11.51"/>
    <n v="195.7"/>
    <n v="86"/>
    <n v="16.63"/>
    <n v="236.5"/>
    <n v="137"/>
    <n v="10.64"/>
    <n v="12"/>
    <n v="2"/>
    <n v="3.24"/>
    <x v="0"/>
    <x v="0"/>
  </r>
  <r>
    <x v="39"/>
    <n v="76"/>
    <x v="1"/>
    <x v="0"/>
    <s v="No"/>
    <n v="0"/>
    <n v="224.4"/>
    <n v="121"/>
    <n v="38.15"/>
    <n v="147.9"/>
    <n v="97"/>
    <n v="12.57"/>
    <n v="183.8"/>
    <n v="74"/>
    <n v="8.27"/>
    <n v="6.7"/>
    <n v="2"/>
    <n v="1.81"/>
    <x v="2"/>
    <x v="0"/>
  </r>
  <r>
    <x v="49"/>
    <n v="63"/>
    <x v="2"/>
    <x v="0"/>
    <s v="No"/>
    <n v="0"/>
    <n v="153.5"/>
    <n v="81"/>
    <n v="26.1"/>
    <n v="287.3"/>
    <n v="115"/>
    <n v="24.42"/>
    <n v="230.2"/>
    <n v="85"/>
    <n v="10.36"/>
    <n v="6.5"/>
    <n v="5"/>
    <n v="1.76"/>
    <x v="2"/>
    <x v="0"/>
  </r>
  <r>
    <x v="10"/>
    <n v="150"/>
    <x v="1"/>
    <x v="0"/>
    <s v="Yes"/>
    <n v="28"/>
    <n v="174.4"/>
    <n v="75"/>
    <n v="29.65"/>
    <n v="169.9"/>
    <n v="80"/>
    <n v="14.44"/>
    <n v="201.6"/>
    <n v="130"/>
    <n v="9.07"/>
    <n v="11"/>
    <n v="4"/>
    <n v="2.97"/>
    <x v="0"/>
    <x v="0"/>
  </r>
  <r>
    <x v="11"/>
    <n v="101"/>
    <x v="1"/>
    <x v="0"/>
    <s v="No"/>
    <n v="0"/>
    <n v="153.80000000000001"/>
    <n v="89"/>
    <n v="26.15"/>
    <n v="234"/>
    <n v="89"/>
    <n v="19.89"/>
    <n v="196.3"/>
    <n v="77"/>
    <n v="8.83"/>
    <n v="11.6"/>
    <n v="2"/>
    <n v="3.13"/>
    <x v="1"/>
    <x v="0"/>
  </r>
  <r>
    <x v="5"/>
    <n v="132"/>
    <x v="1"/>
    <x v="0"/>
    <s v="Yes"/>
    <n v="39"/>
    <n v="175.7"/>
    <n v="93"/>
    <n v="29.87"/>
    <n v="187.2"/>
    <n v="94"/>
    <n v="15.91"/>
    <n v="225.5"/>
    <n v="118"/>
    <n v="10.15"/>
    <n v="8.6"/>
    <n v="3"/>
    <n v="2.3199999999999998"/>
    <x v="2"/>
    <x v="0"/>
  </r>
  <r>
    <x v="17"/>
    <n v="158"/>
    <x v="2"/>
    <x v="0"/>
    <s v="No"/>
    <n v="0"/>
    <n v="155.9"/>
    <n v="123"/>
    <n v="26.5"/>
    <n v="224.2"/>
    <n v="112"/>
    <n v="19.059999999999999"/>
    <n v="221"/>
    <n v="116"/>
    <n v="9.9499999999999993"/>
    <n v="8.6"/>
    <n v="8"/>
    <n v="2.3199999999999998"/>
    <x v="2"/>
    <x v="0"/>
  </r>
  <r>
    <x v="27"/>
    <n v="114"/>
    <x v="1"/>
    <x v="0"/>
    <s v="Yes"/>
    <n v="34"/>
    <n v="154.4"/>
    <n v="109"/>
    <n v="26.25"/>
    <n v="221.4"/>
    <n v="142"/>
    <n v="18.82"/>
    <n v="208.5"/>
    <n v="103"/>
    <n v="9.3800000000000008"/>
    <n v="10.3"/>
    <n v="5"/>
    <n v="2.78"/>
    <x v="3"/>
    <x v="0"/>
  </r>
  <r>
    <x v="47"/>
    <n v="77"/>
    <x v="1"/>
    <x v="0"/>
    <s v="Yes"/>
    <n v="23"/>
    <n v="209.7"/>
    <n v="73"/>
    <n v="35.65"/>
    <n v="183.6"/>
    <n v="63"/>
    <n v="15.61"/>
    <n v="205.5"/>
    <n v="111"/>
    <n v="9.25"/>
    <n v="7.1"/>
    <n v="3"/>
    <n v="1.92"/>
    <x v="2"/>
    <x v="0"/>
  </r>
  <r>
    <x v="42"/>
    <n v="107"/>
    <x v="1"/>
    <x v="0"/>
    <s v="No"/>
    <n v="0"/>
    <n v="212.1"/>
    <n v="95"/>
    <n v="36.06"/>
    <n v="150.1"/>
    <n v="88"/>
    <n v="12.76"/>
    <n v="219.8"/>
    <n v="111"/>
    <n v="9.89"/>
    <n v="7.7"/>
    <n v="2"/>
    <n v="2.08"/>
    <x v="4"/>
    <x v="0"/>
  </r>
  <r>
    <x v="42"/>
    <n v="48"/>
    <x v="2"/>
    <x v="0"/>
    <s v="Yes"/>
    <n v="22"/>
    <n v="152"/>
    <n v="63"/>
    <n v="25.84"/>
    <n v="258.8"/>
    <n v="131"/>
    <n v="22"/>
    <n v="263.2"/>
    <n v="109"/>
    <n v="11.84"/>
    <n v="15.7"/>
    <n v="5"/>
    <n v="4.24"/>
    <x v="2"/>
    <x v="1"/>
  </r>
  <r>
    <x v="48"/>
    <n v="59"/>
    <x v="1"/>
    <x v="0"/>
    <s v="No"/>
    <n v="0"/>
    <n v="160.9"/>
    <n v="95"/>
    <n v="27.35"/>
    <n v="251.2"/>
    <n v="65"/>
    <n v="21.35"/>
    <n v="273.39999999999998"/>
    <n v="97"/>
    <n v="12.3"/>
    <n v="5"/>
    <n v="5"/>
    <n v="1.35"/>
    <x v="4"/>
    <x v="0"/>
  </r>
  <r>
    <x v="36"/>
    <n v="129"/>
    <x v="2"/>
    <x v="0"/>
    <s v="No"/>
    <n v="0"/>
    <n v="334.3"/>
    <n v="118"/>
    <n v="56.83"/>
    <n v="192.1"/>
    <n v="104"/>
    <n v="16.329999999999998"/>
    <n v="191"/>
    <n v="83"/>
    <n v="8.59"/>
    <n v="10.4"/>
    <n v="6"/>
    <n v="2.81"/>
    <x v="3"/>
    <x v="1"/>
  </r>
  <r>
    <x v="26"/>
    <n v="50"/>
    <x v="2"/>
    <x v="0"/>
    <s v="No"/>
    <n v="0"/>
    <n v="188.9"/>
    <n v="94"/>
    <n v="32.11"/>
    <n v="203.9"/>
    <n v="104"/>
    <n v="17.329999999999998"/>
    <n v="151.80000000000001"/>
    <n v="124"/>
    <n v="6.83"/>
    <n v="11.6"/>
    <n v="8"/>
    <n v="3.13"/>
    <x v="4"/>
    <x v="0"/>
  </r>
  <r>
    <x v="6"/>
    <n v="50"/>
    <x v="1"/>
    <x v="0"/>
    <s v="Yes"/>
    <n v="35"/>
    <n v="192.6"/>
    <n v="97"/>
    <n v="32.74"/>
    <n v="135.19999999999999"/>
    <n v="101"/>
    <n v="11.49"/>
    <n v="216.2"/>
    <n v="101"/>
    <n v="9.73"/>
    <n v="7.9"/>
    <n v="2"/>
    <n v="2.13"/>
    <x v="2"/>
    <x v="0"/>
  </r>
  <r>
    <x v="27"/>
    <n v="116"/>
    <x v="1"/>
    <x v="0"/>
    <s v="No"/>
    <n v="0"/>
    <n v="217.3"/>
    <n v="91"/>
    <n v="36.94"/>
    <n v="216.1"/>
    <n v="95"/>
    <n v="18.37"/>
    <n v="148.1"/>
    <n v="76"/>
    <n v="6.66"/>
    <n v="11.3"/>
    <n v="3"/>
    <n v="3.05"/>
    <x v="2"/>
    <x v="0"/>
  </r>
  <r>
    <x v="33"/>
    <n v="52"/>
    <x v="2"/>
    <x v="0"/>
    <s v="Yes"/>
    <n v="38"/>
    <n v="169.3"/>
    <n v="88"/>
    <n v="28.78"/>
    <n v="225.9"/>
    <n v="97"/>
    <n v="19.2"/>
    <n v="172"/>
    <n v="86"/>
    <n v="7.74"/>
    <n v="8.1999999999999993"/>
    <n v="3"/>
    <n v="2.21"/>
    <x v="3"/>
    <x v="0"/>
  </r>
  <r>
    <x v="46"/>
    <n v="12"/>
    <x v="2"/>
    <x v="1"/>
    <s v="No"/>
    <n v="0"/>
    <n v="216.7"/>
    <n v="117"/>
    <n v="36.840000000000003"/>
    <n v="116.5"/>
    <n v="126"/>
    <n v="9.9"/>
    <n v="220"/>
    <n v="110"/>
    <n v="9.9"/>
    <n v="9.8000000000000007"/>
    <n v="4"/>
    <n v="2.65"/>
    <x v="2"/>
    <x v="0"/>
  </r>
  <r>
    <x v="46"/>
    <n v="105"/>
    <x v="2"/>
    <x v="0"/>
    <s v="No"/>
    <n v="0"/>
    <n v="246.4"/>
    <n v="83"/>
    <n v="41.89"/>
    <n v="256.2"/>
    <n v="101"/>
    <n v="21.78"/>
    <n v="169"/>
    <n v="151"/>
    <n v="7.61"/>
    <n v="3.8"/>
    <n v="4"/>
    <n v="1.03"/>
    <x v="3"/>
    <x v="0"/>
  </r>
  <r>
    <x v="2"/>
    <n v="104"/>
    <x v="1"/>
    <x v="0"/>
    <s v="No"/>
    <n v="0"/>
    <n v="156.19999999999999"/>
    <n v="93"/>
    <n v="26.55"/>
    <n v="193"/>
    <n v="54"/>
    <n v="16.41"/>
    <n v="222.7"/>
    <n v="94"/>
    <n v="10.02"/>
    <n v="13.1"/>
    <n v="5"/>
    <n v="3.54"/>
    <x v="0"/>
    <x v="0"/>
  </r>
  <r>
    <x v="44"/>
    <n v="13"/>
    <x v="1"/>
    <x v="0"/>
    <s v="No"/>
    <n v="0"/>
    <n v="146.4"/>
    <n v="74"/>
    <n v="24.89"/>
    <n v="148.5"/>
    <n v="92"/>
    <n v="12.62"/>
    <n v="216.7"/>
    <n v="96"/>
    <n v="9.75"/>
    <n v="11.3"/>
    <n v="3"/>
    <n v="3.05"/>
    <x v="0"/>
    <x v="0"/>
  </r>
  <r>
    <x v="44"/>
    <n v="67"/>
    <x v="0"/>
    <x v="0"/>
    <s v="No"/>
    <n v="0"/>
    <n v="167.8"/>
    <n v="91"/>
    <n v="28.53"/>
    <n v="167.7"/>
    <n v="69"/>
    <n v="14.25"/>
    <n v="110.3"/>
    <n v="71"/>
    <n v="4.96"/>
    <n v="8.4"/>
    <n v="12"/>
    <n v="2.27"/>
    <x v="0"/>
    <x v="0"/>
  </r>
  <r>
    <x v="39"/>
    <n v="148"/>
    <x v="1"/>
    <x v="0"/>
    <s v="Yes"/>
    <n v="11"/>
    <n v="252.9"/>
    <n v="129"/>
    <n v="42.99"/>
    <n v="284.3"/>
    <n v="88"/>
    <n v="24.17"/>
    <n v="262.8"/>
    <n v="99"/>
    <n v="11.83"/>
    <n v="12.3"/>
    <n v="1"/>
    <n v="3.32"/>
    <x v="0"/>
    <x v="0"/>
  </r>
  <r>
    <x v="10"/>
    <n v="116"/>
    <x v="2"/>
    <x v="0"/>
    <s v="No"/>
    <n v="0"/>
    <n v="201.8"/>
    <n v="82"/>
    <n v="34.31"/>
    <n v="231.5"/>
    <n v="95"/>
    <n v="19.68"/>
    <n v="226.1"/>
    <n v="130"/>
    <n v="10.17"/>
    <n v="16.5"/>
    <n v="5"/>
    <n v="4.46"/>
    <x v="3"/>
    <x v="0"/>
  </r>
  <r>
    <x v="36"/>
    <n v="131"/>
    <x v="0"/>
    <x v="0"/>
    <s v="No"/>
    <n v="0"/>
    <n v="94.4"/>
    <n v="80"/>
    <n v="16.05"/>
    <n v="215.1"/>
    <n v="101"/>
    <n v="18.28"/>
    <n v="179.7"/>
    <n v="108"/>
    <n v="8.09"/>
    <n v="13.1"/>
    <n v="9"/>
    <n v="3.54"/>
    <x v="2"/>
    <x v="0"/>
  </r>
  <r>
    <x v="11"/>
    <n v="119"/>
    <x v="2"/>
    <x v="0"/>
    <s v="No"/>
    <n v="0"/>
    <n v="190.4"/>
    <n v="74"/>
    <n v="32.369999999999997"/>
    <n v="215.6"/>
    <n v="113"/>
    <n v="18.329999999999998"/>
    <n v="161.19999999999999"/>
    <n v="111"/>
    <n v="7.25"/>
    <n v="10"/>
    <n v="1"/>
    <n v="2.7"/>
    <x v="2"/>
    <x v="0"/>
  </r>
  <r>
    <x v="2"/>
    <n v="94"/>
    <x v="2"/>
    <x v="1"/>
    <s v="No"/>
    <n v="0"/>
    <n v="243.2"/>
    <n v="109"/>
    <n v="41.34"/>
    <n v="147"/>
    <n v="88"/>
    <n v="12.5"/>
    <n v="94.9"/>
    <n v="99"/>
    <n v="4.2699999999999996"/>
    <n v="7.2"/>
    <n v="4"/>
    <n v="1.94"/>
    <x v="1"/>
    <x v="0"/>
  </r>
  <r>
    <x v="26"/>
    <n v="217"/>
    <x v="0"/>
    <x v="0"/>
    <s v="No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x v="1"/>
    <x v="0"/>
  </r>
  <r>
    <x v="25"/>
    <n v="161"/>
    <x v="1"/>
    <x v="0"/>
    <s v="No"/>
    <n v="0"/>
    <n v="178.1"/>
    <n v="109"/>
    <n v="30.28"/>
    <n v="146.5"/>
    <n v="86"/>
    <n v="12.45"/>
    <n v="137.6"/>
    <n v="78"/>
    <n v="6.19"/>
    <n v="8.5"/>
    <n v="2"/>
    <n v="2.2999999999999998"/>
    <x v="0"/>
    <x v="0"/>
  </r>
  <r>
    <x v="30"/>
    <n v="67"/>
    <x v="0"/>
    <x v="0"/>
    <s v="No"/>
    <n v="0"/>
    <n v="201.4"/>
    <n v="101"/>
    <n v="34.24"/>
    <n v="97.6"/>
    <n v="122"/>
    <n v="8.3000000000000007"/>
    <n v="202.5"/>
    <n v="119"/>
    <n v="9.11"/>
    <n v="7"/>
    <n v="3"/>
    <n v="1.89"/>
    <x v="3"/>
    <x v="0"/>
  </r>
  <r>
    <x v="46"/>
    <n v="132"/>
    <x v="1"/>
    <x v="0"/>
    <s v="Yes"/>
    <n v="31"/>
    <n v="174.5"/>
    <n v="101"/>
    <n v="29.67"/>
    <n v="245.6"/>
    <n v="105"/>
    <n v="20.88"/>
    <n v="172.8"/>
    <n v="76"/>
    <n v="7.78"/>
    <n v="10.3"/>
    <n v="9"/>
    <n v="2.78"/>
    <x v="0"/>
    <x v="0"/>
  </r>
  <r>
    <x v="45"/>
    <n v="134"/>
    <x v="0"/>
    <x v="0"/>
    <s v="No"/>
    <n v="0"/>
    <n v="205.3"/>
    <n v="122"/>
    <n v="34.9"/>
    <n v="240.5"/>
    <n v="155"/>
    <n v="20.440000000000001"/>
    <n v="179.1"/>
    <n v="107"/>
    <n v="8.06"/>
    <n v="5"/>
    <n v="9"/>
    <n v="1.35"/>
    <x v="0"/>
    <x v="0"/>
  </r>
  <r>
    <x v="2"/>
    <n v="44"/>
    <x v="2"/>
    <x v="0"/>
    <s v="No"/>
    <n v="0"/>
    <n v="143.19999999999999"/>
    <n v="77"/>
    <n v="24.34"/>
    <n v="169.8"/>
    <n v="114"/>
    <n v="14.43"/>
    <n v="215.8"/>
    <n v="77"/>
    <n v="9.7100000000000009"/>
    <n v="7.6"/>
    <n v="4"/>
    <n v="2.0499999999999998"/>
    <x v="0"/>
    <x v="0"/>
  </r>
  <r>
    <x v="28"/>
    <n v="53"/>
    <x v="1"/>
    <x v="0"/>
    <s v="Yes"/>
    <n v="27"/>
    <n v="25.9"/>
    <n v="119"/>
    <n v="4.4000000000000004"/>
    <n v="206.5"/>
    <n v="96"/>
    <n v="17.55"/>
    <n v="228.1"/>
    <n v="64"/>
    <n v="10.26"/>
    <n v="6.5"/>
    <n v="7"/>
    <n v="1.76"/>
    <x v="0"/>
    <x v="0"/>
  </r>
  <r>
    <x v="2"/>
    <n v="108"/>
    <x v="1"/>
    <x v="0"/>
    <s v="No"/>
    <n v="0"/>
    <n v="154.19999999999999"/>
    <n v="123"/>
    <n v="26.21"/>
    <n v="112.3"/>
    <n v="86"/>
    <n v="9.5500000000000007"/>
    <n v="246.4"/>
    <n v="75"/>
    <n v="11.09"/>
    <n v="15.4"/>
    <n v="4"/>
    <n v="4.16"/>
    <x v="1"/>
    <x v="1"/>
  </r>
  <r>
    <x v="40"/>
    <n v="80"/>
    <x v="0"/>
    <x v="0"/>
    <s v="No"/>
    <n v="0"/>
    <n v="322.3"/>
    <n v="113"/>
    <n v="54.79"/>
    <n v="222"/>
    <n v="95"/>
    <n v="18.87"/>
    <n v="162.80000000000001"/>
    <n v="123"/>
    <n v="7.33"/>
    <n v="6.7"/>
    <n v="8"/>
    <n v="1.81"/>
    <x v="3"/>
    <x v="1"/>
  </r>
  <r>
    <x v="32"/>
    <n v="88"/>
    <x v="1"/>
    <x v="0"/>
    <s v="No"/>
    <n v="0"/>
    <n v="215.6"/>
    <n v="115"/>
    <n v="36.65"/>
    <n v="216.2"/>
    <n v="85"/>
    <n v="18.38"/>
    <n v="171.3"/>
    <n v="65"/>
    <n v="7.71"/>
    <n v="11.8"/>
    <n v="1"/>
    <n v="3.19"/>
    <x v="4"/>
    <x v="0"/>
  </r>
  <r>
    <x v="37"/>
    <n v="82"/>
    <x v="2"/>
    <x v="1"/>
    <s v="No"/>
    <n v="0"/>
    <n v="208.8"/>
    <n v="101"/>
    <n v="35.5"/>
    <n v="213.7"/>
    <n v="87"/>
    <n v="18.16"/>
    <n v="175.1"/>
    <n v="86"/>
    <n v="7.88"/>
    <n v="12.4"/>
    <n v="6"/>
    <n v="3.35"/>
    <x v="4"/>
    <x v="0"/>
  </r>
  <r>
    <x v="5"/>
    <n v="115"/>
    <x v="1"/>
    <x v="0"/>
    <s v="No"/>
    <n v="0"/>
    <n v="245.2"/>
    <n v="105"/>
    <n v="41.68"/>
    <n v="159"/>
    <n v="109"/>
    <n v="13.52"/>
    <n v="229.9"/>
    <n v="74"/>
    <n v="10.35"/>
    <n v="7.2"/>
    <n v="8"/>
    <n v="1.94"/>
    <x v="3"/>
    <x v="0"/>
  </r>
  <r>
    <x v="35"/>
    <n v="93"/>
    <x v="1"/>
    <x v="0"/>
    <s v="No"/>
    <n v="0"/>
    <n v="98.4"/>
    <n v="78"/>
    <n v="16.73"/>
    <n v="249.6"/>
    <n v="129"/>
    <n v="21.22"/>
    <n v="248.2"/>
    <n v="114"/>
    <n v="11.17"/>
    <n v="14.2"/>
    <n v="4"/>
    <n v="3.83"/>
    <x v="0"/>
    <x v="0"/>
  </r>
  <r>
    <x v="22"/>
    <n v="72"/>
    <x v="1"/>
    <x v="0"/>
    <s v="No"/>
    <n v="0"/>
    <n v="217.8"/>
    <n v="93"/>
    <n v="37.03"/>
    <n v="189.7"/>
    <n v="113"/>
    <n v="16.12"/>
    <n v="182.6"/>
    <n v="91"/>
    <n v="8.2200000000000006"/>
    <n v="10.4"/>
    <n v="5"/>
    <n v="2.81"/>
    <x v="1"/>
    <x v="0"/>
  </r>
  <r>
    <x v="36"/>
    <n v="98"/>
    <x v="1"/>
    <x v="0"/>
    <s v="Yes"/>
    <n v="29"/>
    <n v="179.9"/>
    <n v="97"/>
    <n v="30.58"/>
    <n v="189.2"/>
    <n v="89"/>
    <n v="16.079999999999998"/>
    <n v="164.3"/>
    <n v="76"/>
    <n v="7.39"/>
    <n v="12.8"/>
    <n v="7"/>
    <n v="3.46"/>
    <x v="4"/>
    <x v="0"/>
  </r>
  <r>
    <x v="7"/>
    <n v="118"/>
    <x v="1"/>
    <x v="0"/>
    <s v="No"/>
    <n v="0"/>
    <n v="140.4"/>
    <n v="112"/>
    <n v="23.87"/>
    <n v="187.1"/>
    <n v="60"/>
    <n v="15.9"/>
    <n v="207.9"/>
    <n v="155"/>
    <n v="9.36"/>
    <n v="7.9"/>
    <n v="1"/>
    <n v="2.13"/>
    <x v="3"/>
    <x v="0"/>
  </r>
  <r>
    <x v="21"/>
    <n v="55"/>
    <x v="2"/>
    <x v="0"/>
    <s v="No"/>
    <n v="0"/>
    <n v="189"/>
    <n v="100"/>
    <n v="32.130000000000003"/>
    <n v="118.5"/>
    <n v="99"/>
    <n v="10.07"/>
    <n v="248.1"/>
    <n v="87"/>
    <n v="11.16"/>
    <n v="17.100000000000001"/>
    <n v="6"/>
    <n v="4.62"/>
    <x v="3"/>
    <x v="0"/>
  </r>
  <r>
    <x v="41"/>
    <n v="130"/>
    <x v="1"/>
    <x v="0"/>
    <s v="No"/>
    <n v="0"/>
    <n v="155.9"/>
    <n v="95"/>
    <n v="26.5"/>
    <n v="256.10000000000002"/>
    <n v="97"/>
    <n v="21.77"/>
    <n v="262.89999999999998"/>
    <n v="103"/>
    <n v="11.83"/>
    <n v="11.7"/>
    <n v="3"/>
    <n v="3.16"/>
    <x v="4"/>
    <x v="0"/>
  </r>
  <r>
    <x v="29"/>
    <n v="136"/>
    <x v="0"/>
    <x v="1"/>
    <s v="No"/>
    <n v="0"/>
    <n v="199.2"/>
    <n v="122"/>
    <n v="33.86"/>
    <n v="214.7"/>
    <n v="114"/>
    <n v="18.25"/>
    <n v="150.9"/>
    <n v="105"/>
    <n v="6.79"/>
    <n v="11.8"/>
    <n v="7"/>
    <n v="3.19"/>
    <x v="0"/>
    <x v="0"/>
  </r>
  <r>
    <x v="14"/>
    <n v="107"/>
    <x v="1"/>
    <x v="0"/>
    <s v="No"/>
    <n v="0"/>
    <n v="157.1"/>
    <n v="79"/>
    <n v="26.71"/>
    <n v="162.6"/>
    <n v="124"/>
    <n v="13.82"/>
    <n v="150"/>
    <n v="138"/>
    <n v="6.75"/>
    <n v="12.1"/>
    <n v="6"/>
    <n v="3.27"/>
    <x v="0"/>
    <x v="0"/>
  </r>
  <r>
    <x v="6"/>
    <n v="91"/>
    <x v="1"/>
    <x v="0"/>
    <s v="No"/>
    <n v="0"/>
    <n v="154.4"/>
    <n v="165"/>
    <n v="26.25"/>
    <n v="168.3"/>
    <n v="121"/>
    <n v="14.31"/>
    <n v="239.9"/>
    <n v="81"/>
    <n v="10.8"/>
    <n v="11.7"/>
    <n v="4"/>
    <n v="3.16"/>
    <x v="5"/>
    <x v="1"/>
  </r>
  <r>
    <x v="2"/>
    <n v="167"/>
    <x v="1"/>
    <x v="0"/>
    <s v="No"/>
    <n v="0"/>
    <n v="166.4"/>
    <n v="85"/>
    <n v="28.29"/>
    <n v="243.2"/>
    <n v="135"/>
    <n v="20.67"/>
    <n v="229.2"/>
    <n v="95"/>
    <n v="10.31"/>
    <n v="9.9"/>
    <n v="5"/>
    <n v="2.67"/>
    <x v="0"/>
    <x v="0"/>
  </r>
  <r>
    <x v="30"/>
    <n v="159"/>
    <x v="1"/>
    <x v="0"/>
    <s v="Yes"/>
    <n v="19"/>
    <n v="184.1"/>
    <n v="78"/>
    <n v="31.3"/>
    <n v="194.5"/>
    <n v="71"/>
    <n v="16.53"/>
    <n v="225.6"/>
    <n v="101"/>
    <n v="10.15"/>
    <n v="16.899999999999999"/>
    <n v="3"/>
    <n v="4.5599999999999996"/>
    <x v="3"/>
    <x v="0"/>
  </r>
  <r>
    <x v="45"/>
    <n v="122"/>
    <x v="1"/>
    <x v="0"/>
    <s v="No"/>
    <n v="0"/>
    <n v="35.1"/>
    <n v="62"/>
    <n v="5.97"/>
    <n v="180.8"/>
    <n v="89"/>
    <n v="15.37"/>
    <n v="251.6"/>
    <n v="58"/>
    <n v="11.32"/>
    <n v="12.7"/>
    <n v="2"/>
    <n v="3.43"/>
    <x v="0"/>
    <x v="0"/>
  </r>
  <r>
    <x v="6"/>
    <n v="105"/>
    <x v="1"/>
    <x v="0"/>
    <s v="Yes"/>
    <n v="29"/>
    <n v="179.4"/>
    <n v="113"/>
    <n v="30.5"/>
    <n v="275.39999999999998"/>
    <n v="100"/>
    <n v="23.41"/>
    <n v="246.1"/>
    <n v="105"/>
    <n v="11.07"/>
    <n v="10"/>
    <n v="5"/>
    <n v="2.7"/>
    <x v="3"/>
    <x v="0"/>
  </r>
  <r>
    <x v="23"/>
    <n v="155"/>
    <x v="0"/>
    <x v="0"/>
    <s v="No"/>
    <n v="0"/>
    <n v="216.7"/>
    <n v="30"/>
    <n v="36.840000000000003"/>
    <n v="144.30000000000001"/>
    <n v="125"/>
    <n v="12.27"/>
    <n v="135.30000000000001"/>
    <n v="106"/>
    <n v="6.09"/>
    <n v="10.8"/>
    <n v="1"/>
    <n v="2.92"/>
    <x v="2"/>
    <x v="0"/>
  </r>
  <r>
    <x v="18"/>
    <n v="161"/>
    <x v="1"/>
    <x v="0"/>
    <s v="No"/>
    <n v="0"/>
    <n v="151.6"/>
    <n v="117"/>
    <n v="25.77"/>
    <n v="219.4"/>
    <n v="87"/>
    <n v="18.649999999999999"/>
    <n v="224.7"/>
    <n v="68"/>
    <n v="10.11"/>
    <n v="4"/>
    <n v="5"/>
    <n v="1.08"/>
    <x v="0"/>
    <x v="0"/>
  </r>
  <r>
    <x v="2"/>
    <n v="122"/>
    <x v="1"/>
    <x v="0"/>
    <s v="No"/>
    <n v="0"/>
    <n v="173.6"/>
    <n v="110"/>
    <n v="29.51"/>
    <n v="91.7"/>
    <n v="84"/>
    <n v="7.79"/>
    <n v="211.7"/>
    <n v="103"/>
    <n v="9.5299999999999994"/>
    <n v="9.6999999999999993"/>
    <n v="7"/>
    <n v="2.62"/>
    <x v="4"/>
    <x v="0"/>
  </r>
  <r>
    <x v="43"/>
    <n v="37"/>
    <x v="1"/>
    <x v="1"/>
    <s v="No"/>
    <n v="0"/>
    <n v="106.6"/>
    <n v="76"/>
    <n v="18.12"/>
    <n v="147.4"/>
    <n v="89"/>
    <n v="12.53"/>
    <n v="235.8"/>
    <n v="113"/>
    <n v="10.61"/>
    <n v="9.6"/>
    <n v="8"/>
    <n v="2.59"/>
    <x v="2"/>
    <x v="0"/>
  </r>
  <r>
    <x v="30"/>
    <n v="128"/>
    <x v="1"/>
    <x v="0"/>
    <s v="No"/>
    <n v="0"/>
    <n v="103.3"/>
    <n v="122"/>
    <n v="17.559999999999999"/>
    <n v="245.9"/>
    <n v="123"/>
    <n v="20.9"/>
    <n v="161.1"/>
    <n v="95"/>
    <n v="7.25"/>
    <n v="6.4"/>
    <n v="7"/>
    <n v="1.73"/>
    <x v="3"/>
    <x v="0"/>
  </r>
  <r>
    <x v="36"/>
    <n v="89"/>
    <x v="2"/>
    <x v="1"/>
    <s v="No"/>
    <n v="0"/>
    <n v="125.6"/>
    <n v="108"/>
    <n v="21.35"/>
    <n v="213"/>
    <n v="90"/>
    <n v="18.11"/>
    <n v="181.7"/>
    <n v="108"/>
    <n v="8.18"/>
    <n v="5.4"/>
    <n v="5"/>
    <n v="1.46"/>
    <x v="0"/>
    <x v="0"/>
  </r>
  <r>
    <x v="1"/>
    <n v="108"/>
    <x v="1"/>
    <x v="0"/>
    <s v="No"/>
    <n v="0"/>
    <n v="199.3"/>
    <n v="104"/>
    <n v="33.880000000000003"/>
    <n v="224.2"/>
    <n v="92"/>
    <n v="19.059999999999999"/>
    <n v="140.1"/>
    <n v="57"/>
    <n v="6.3"/>
    <n v="15.2"/>
    <n v="2"/>
    <n v="4.0999999999999996"/>
    <x v="3"/>
    <x v="0"/>
  </r>
  <r>
    <x v="11"/>
    <n v="109"/>
    <x v="0"/>
    <x v="0"/>
    <s v="No"/>
    <n v="0"/>
    <n v="222.2"/>
    <n v="113"/>
    <n v="37.770000000000003"/>
    <n v="218.5"/>
    <n v="122"/>
    <n v="18.57"/>
    <n v="266"/>
    <n v="88"/>
    <n v="11.97"/>
    <n v="10.9"/>
    <n v="5"/>
    <n v="2.94"/>
    <x v="0"/>
    <x v="0"/>
  </r>
  <r>
    <x v="18"/>
    <n v="29"/>
    <x v="1"/>
    <x v="0"/>
    <s v="No"/>
    <n v="0"/>
    <n v="157.4"/>
    <n v="122"/>
    <n v="26.76"/>
    <n v="145"/>
    <n v="75"/>
    <n v="12.33"/>
    <n v="281.8"/>
    <n v="92"/>
    <n v="12.68"/>
    <n v="9.3000000000000007"/>
    <n v="2"/>
    <n v="2.5099999999999998"/>
    <x v="0"/>
    <x v="0"/>
  </r>
  <r>
    <x v="24"/>
    <n v="119"/>
    <x v="1"/>
    <x v="1"/>
    <s v="Yes"/>
    <n v="15"/>
    <n v="160"/>
    <n v="95"/>
    <n v="27.2"/>
    <n v="209.5"/>
    <n v="110"/>
    <n v="17.809999999999999"/>
    <n v="82.3"/>
    <n v="107"/>
    <n v="3.7"/>
    <n v="8.6999999999999993"/>
    <n v="5"/>
    <n v="2.35"/>
    <x v="5"/>
    <x v="1"/>
  </r>
  <r>
    <x v="21"/>
    <n v="86"/>
    <x v="1"/>
    <x v="0"/>
    <s v="No"/>
    <n v="0"/>
    <n v="83.5"/>
    <n v="96"/>
    <n v="14.2"/>
    <n v="221.1"/>
    <n v="63"/>
    <n v="18.79"/>
    <n v="349.7"/>
    <n v="75"/>
    <n v="15.74"/>
    <n v="12.6"/>
    <n v="3"/>
    <n v="3.4"/>
    <x v="3"/>
    <x v="0"/>
  </r>
  <r>
    <x v="49"/>
    <n v="92"/>
    <x v="2"/>
    <x v="0"/>
    <s v="Yes"/>
    <n v="25"/>
    <n v="134"/>
    <n v="112"/>
    <n v="22.78"/>
    <n v="206"/>
    <n v="111"/>
    <n v="17.510000000000002"/>
    <n v="180.6"/>
    <n v="118"/>
    <n v="8.1300000000000008"/>
    <n v="9.6999999999999993"/>
    <n v="4"/>
    <n v="2.62"/>
    <x v="3"/>
    <x v="0"/>
  </r>
  <r>
    <x v="18"/>
    <n v="13"/>
    <x v="2"/>
    <x v="0"/>
    <s v="Yes"/>
    <n v="25"/>
    <n v="176.6"/>
    <n v="65"/>
    <n v="30.02"/>
    <n v="172.7"/>
    <n v="96"/>
    <n v="14.68"/>
    <n v="104.5"/>
    <n v="128"/>
    <n v="4.7"/>
    <n v="11.3"/>
    <n v="5"/>
    <n v="3.05"/>
    <x v="2"/>
    <x v="0"/>
  </r>
  <r>
    <x v="34"/>
    <n v="144"/>
    <x v="2"/>
    <x v="1"/>
    <s v="Yes"/>
    <n v="35"/>
    <n v="174.8"/>
    <n v="127"/>
    <n v="29.72"/>
    <n v="219.6"/>
    <n v="93"/>
    <n v="18.670000000000002"/>
    <n v="255.8"/>
    <n v="90"/>
    <n v="11.51"/>
    <n v="12.8"/>
    <n v="3"/>
    <n v="3.46"/>
    <x v="3"/>
    <x v="0"/>
  </r>
  <r>
    <x v="23"/>
    <n v="139"/>
    <x v="2"/>
    <x v="0"/>
    <s v="No"/>
    <n v="0"/>
    <n v="221.3"/>
    <n v="140"/>
    <n v="37.619999999999997"/>
    <n v="157.80000000000001"/>
    <n v="89"/>
    <n v="13.41"/>
    <n v="192.5"/>
    <n v="89"/>
    <n v="8.66"/>
    <n v="11.3"/>
    <n v="6"/>
    <n v="3.05"/>
    <x v="0"/>
    <x v="0"/>
  </r>
  <r>
    <x v="0"/>
    <n v="95"/>
    <x v="1"/>
    <x v="0"/>
    <s v="No"/>
    <n v="0"/>
    <n v="141.1"/>
    <n v="84"/>
    <n v="23.99"/>
    <n v="211.4"/>
    <n v="108"/>
    <n v="17.97"/>
    <n v="103.7"/>
    <n v="127"/>
    <n v="4.67"/>
    <n v="5.9"/>
    <n v="6"/>
    <n v="1.59"/>
    <x v="4"/>
    <x v="0"/>
  </r>
  <r>
    <x v="40"/>
    <n v="80"/>
    <x v="0"/>
    <x v="0"/>
    <s v="Yes"/>
    <n v="31"/>
    <n v="166.4"/>
    <n v="92"/>
    <n v="28.29"/>
    <n v="238.3"/>
    <n v="74"/>
    <n v="20.260000000000002"/>
    <n v="150.69999999999999"/>
    <n v="84"/>
    <n v="6.78"/>
    <n v="10.7"/>
    <n v="4"/>
    <n v="2.89"/>
    <x v="1"/>
    <x v="0"/>
  </r>
  <r>
    <x v="12"/>
    <n v="113"/>
    <x v="1"/>
    <x v="0"/>
    <s v="No"/>
    <n v="0"/>
    <n v="215.9"/>
    <n v="93"/>
    <n v="36.700000000000003"/>
    <n v="240.1"/>
    <n v="85"/>
    <n v="20.41"/>
    <n v="156.69999999999999"/>
    <n v="123"/>
    <n v="7.05"/>
    <n v="4.9000000000000004"/>
    <n v="5"/>
    <n v="1.32"/>
    <x v="4"/>
    <x v="0"/>
  </r>
  <r>
    <x v="7"/>
    <n v="88"/>
    <x v="1"/>
    <x v="0"/>
    <s v="Yes"/>
    <n v="31"/>
    <n v="181.6"/>
    <n v="91"/>
    <n v="30.87"/>
    <n v="213.2"/>
    <n v="120"/>
    <n v="18.12"/>
    <n v="207.8"/>
    <n v="104"/>
    <n v="9.35"/>
    <n v="11.4"/>
    <n v="4"/>
    <n v="3.08"/>
    <x v="0"/>
    <x v="0"/>
  </r>
  <r>
    <x v="37"/>
    <n v="74"/>
    <x v="1"/>
    <x v="0"/>
    <s v="No"/>
    <n v="0"/>
    <n v="106.4"/>
    <n v="84"/>
    <n v="18.09"/>
    <n v="140.19999999999999"/>
    <n v="104"/>
    <n v="11.92"/>
    <n v="90.9"/>
    <n v="81"/>
    <n v="4.09"/>
    <n v="11.4"/>
    <n v="3"/>
    <n v="3.08"/>
    <x v="0"/>
    <x v="0"/>
  </r>
  <r>
    <x v="41"/>
    <n v="48"/>
    <x v="2"/>
    <x v="0"/>
    <s v="No"/>
    <n v="0"/>
    <n v="128.19999999999999"/>
    <n v="71"/>
    <n v="21.79"/>
    <n v="48.1"/>
    <n v="78"/>
    <n v="4.09"/>
    <n v="116.3"/>
    <n v="80"/>
    <n v="5.23"/>
    <n v="8.9"/>
    <n v="3"/>
    <n v="2.4"/>
    <x v="3"/>
    <x v="0"/>
  </r>
  <r>
    <x v="16"/>
    <n v="163"/>
    <x v="2"/>
    <x v="0"/>
    <s v="No"/>
    <n v="0"/>
    <n v="178.7"/>
    <n v="56"/>
    <n v="30.38"/>
    <n v="215.7"/>
    <n v="79"/>
    <n v="18.329999999999998"/>
    <n v="152.69999999999999"/>
    <n v="84"/>
    <n v="6.87"/>
    <n v="10.6"/>
    <n v="2"/>
    <n v="2.86"/>
    <x v="1"/>
    <x v="0"/>
  </r>
  <r>
    <x v="7"/>
    <n v="56"/>
    <x v="2"/>
    <x v="0"/>
    <s v="No"/>
    <n v="0"/>
    <n v="150.9"/>
    <n v="79"/>
    <n v="25.65"/>
    <n v="161.80000000000001"/>
    <n v="87"/>
    <n v="13.75"/>
    <n v="167.7"/>
    <n v="115"/>
    <n v="7.55"/>
    <n v="11.7"/>
    <n v="5"/>
    <n v="3.16"/>
    <x v="4"/>
    <x v="0"/>
  </r>
  <r>
    <x v="26"/>
    <n v="64"/>
    <x v="1"/>
    <x v="0"/>
    <s v="No"/>
    <n v="0"/>
    <n v="168"/>
    <n v="116"/>
    <n v="28.56"/>
    <n v="192.4"/>
    <n v="94"/>
    <n v="16.350000000000001"/>
    <n v="166.5"/>
    <n v="98"/>
    <n v="7.49"/>
    <n v="10.1"/>
    <n v="3"/>
    <n v="2.73"/>
    <x v="2"/>
    <x v="0"/>
  </r>
  <r>
    <x v="12"/>
    <n v="116"/>
    <x v="1"/>
    <x v="0"/>
    <s v="Yes"/>
    <n v="35"/>
    <n v="182.8"/>
    <n v="122"/>
    <n v="31.08"/>
    <n v="212.7"/>
    <n v="119"/>
    <n v="18.079999999999998"/>
    <n v="193.8"/>
    <n v="103"/>
    <n v="8.7200000000000006"/>
    <n v="11"/>
    <n v="2"/>
    <n v="2.97"/>
    <x v="0"/>
    <x v="0"/>
  </r>
  <r>
    <x v="45"/>
    <n v="101"/>
    <x v="1"/>
    <x v="1"/>
    <s v="No"/>
    <n v="0"/>
    <n v="193.7"/>
    <n v="108"/>
    <n v="32.93"/>
    <n v="186.6"/>
    <n v="98"/>
    <n v="15.86"/>
    <n v="223"/>
    <n v="100"/>
    <n v="10.039999999999999"/>
    <n v="11.6"/>
    <n v="8"/>
    <n v="3.13"/>
    <x v="3"/>
    <x v="0"/>
  </r>
  <r>
    <x v="35"/>
    <n v="85"/>
    <x v="1"/>
    <x v="1"/>
    <s v="No"/>
    <n v="0"/>
    <n v="197.2"/>
    <n v="97"/>
    <n v="33.520000000000003"/>
    <n v="211.7"/>
    <n v="115"/>
    <n v="17.989999999999998"/>
    <n v="210.1"/>
    <n v="133"/>
    <n v="9.4499999999999993"/>
    <n v="8.3000000000000007"/>
    <n v="4"/>
    <n v="2.2400000000000002"/>
    <x v="1"/>
    <x v="0"/>
  </r>
  <r>
    <x v="23"/>
    <n v="90"/>
    <x v="1"/>
    <x v="0"/>
    <s v="No"/>
    <n v="0"/>
    <n v="76.099999999999994"/>
    <n v="121"/>
    <n v="12.94"/>
    <n v="290.3"/>
    <n v="73"/>
    <n v="24.68"/>
    <n v="236.9"/>
    <n v="89"/>
    <n v="10.66"/>
    <n v="10.8"/>
    <n v="3"/>
    <n v="2.92"/>
    <x v="3"/>
    <x v="0"/>
  </r>
  <r>
    <x v="37"/>
    <n v="73"/>
    <x v="1"/>
    <x v="0"/>
    <s v="No"/>
    <n v="0"/>
    <n v="182.3"/>
    <n v="115"/>
    <n v="30.99"/>
    <n v="199.2"/>
    <n v="97"/>
    <n v="16.93"/>
    <n v="120.2"/>
    <n v="113"/>
    <n v="5.41"/>
    <n v="18"/>
    <n v="5"/>
    <n v="4.8600000000000003"/>
    <x v="0"/>
    <x v="0"/>
  </r>
  <r>
    <x v="23"/>
    <n v="55"/>
    <x v="0"/>
    <x v="0"/>
    <s v="Yes"/>
    <n v="20"/>
    <n v="189.3"/>
    <n v="95"/>
    <n v="32.18"/>
    <n v="118.6"/>
    <n v="113"/>
    <n v="10.08"/>
    <n v="250.2"/>
    <n v="102"/>
    <n v="11.26"/>
    <n v="12.5"/>
    <n v="4"/>
    <n v="3.38"/>
    <x v="2"/>
    <x v="0"/>
  </r>
  <r>
    <x v="5"/>
    <n v="76"/>
    <x v="1"/>
    <x v="0"/>
    <s v="Yes"/>
    <n v="22"/>
    <n v="160.1"/>
    <n v="107"/>
    <n v="27.22"/>
    <n v="168.7"/>
    <n v="136"/>
    <n v="14.34"/>
    <n v="23.2"/>
    <n v="102"/>
    <n v="1.04"/>
    <n v="9.5"/>
    <n v="4"/>
    <n v="2.57"/>
    <x v="4"/>
    <x v="0"/>
  </r>
  <r>
    <x v="16"/>
    <n v="157"/>
    <x v="1"/>
    <x v="0"/>
    <s v="No"/>
    <n v="0"/>
    <n v="220.7"/>
    <n v="105"/>
    <n v="37.520000000000003"/>
    <n v="119.3"/>
    <n v="127"/>
    <n v="10.14"/>
    <n v="165.1"/>
    <n v="113"/>
    <n v="7.43"/>
    <n v="11.5"/>
    <n v="7"/>
    <n v="3.11"/>
    <x v="1"/>
    <x v="0"/>
  </r>
  <r>
    <x v="42"/>
    <n v="131"/>
    <x v="1"/>
    <x v="0"/>
    <s v="No"/>
    <n v="0"/>
    <n v="211.8"/>
    <n v="115"/>
    <n v="36.01"/>
    <n v="260.5"/>
    <n v="102"/>
    <n v="22.14"/>
    <n v="144.19999999999999"/>
    <n v="96"/>
    <n v="6.49"/>
    <n v="10.8"/>
    <n v="7"/>
    <n v="2.92"/>
    <x v="3"/>
    <x v="0"/>
  </r>
  <r>
    <x v="6"/>
    <n v="51"/>
    <x v="1"/>
    <x v="0"/>
    <s v="No"/>
    <n v="0"/>
    <n v="229.7"/>
    <n v="129"/>
    <n v="39.049999999999997"/>
    <n v="336"/>
    <n v="104"/>
    <n v="28.56"/>
    <n v="192.8"/>
    <n v="128"/>
    <n v="8.68"/>
    <n v="9.6"/>
    <n v="1"/>
    <n v="2.59"/>
    <x v="0"/>
    <x v="1"/>
  </r>
  <r>
    <x v="7"/>
    <n v="166"/>
    <x v="1"/>
    <x v="0"/>
    <s v="No"/>
    <n v="0"/>
    <n v="220.7"/>
    <n v="106"/>
    <n v="37.520000000000003"/>
    <n v="177.8"/>
    <n v="118"/>
    <n v="15.11"/>
    <n v="206.1"/>
    <n v="102"/>
    <n v="9.27"/>
    <n v="12.4"/>
    <n v="9"/>
    <n v="3.35"/>
    <x v="0"/>
    <x v="0"/>
  </r>
  <r>
    <x v="25"/>
    <n v="66"/>
    <x v="0"/>
    <x v="0"/>
    <s v="No"/>
    <n v="0"/>
    <n v="87.6"/>
    <n v="76"/>
    <n v="14.89"/>
    <n v="262"/>
    <n v="111"/>
    <n v="22.27"/>
    <n v="184.6"/>
    <n v="125"/>
    <n v="8.31"/>
    <n v="9.1999999999999993"/>
    <n v="5"/>
    <n v="2.48"/>
    <x v="0"/>
    <x v="0"/>
  </r>
  <r>
    <x v="37"/>
    <n v="49"/>
    <x v="1"/>
    <x v="0"/>
    <s v="No"/>
    <n v="0"/>
    <n v="266.3"/>
    <n v="90"/>
    <n v="45.27"/>
    <n v="207.8"/>
    <n v="117"/>
    <n v="17.66"/>
    <n v="205"/>
    <n v="98"/>
    <n v="9.23"/>
    <n v="14"/>
    <n v="2"/>
    <n v="3.78"/>
    <x v="2"/>
    <x v="1"/>
  </r>
  <r>
    <x v="0"/>
    <n v="89"/>
    <x v="1"/>
    <x v="0"/>
    <s v="No"/>
    <n v="0"/>
    <n v="141.1"/>
    <n v="92"/>
    <n v="23.99"/>
    <n v="249.1"/>
    <n v="126"/>
    <n v="21.17"/>
    <n v="136"/>
    <n v="73"/>
    <n v="6.12"/>
    <n v="10.8"/>
    <n v="2"/>
    <n v="2.92"/>
    <x v="2"/>
    <x v="0"/>
  </r>
  <r>
    <x v="9"/>
    <n v="90"/>
    <x v="1"/>
    <x v="0"/>
    <s v="No"/>
    <n v="0"/>
    <n v="200.9"/>
    <n v="92"/>
    <n v="34.15"/>
    <n v="164.3"/>
    <n v="91"/>
    <n v="13.97"/>
    <n v="249"/>
    <n v="98"/>
    <n v="11.21"/>
    <n v="8.9"/>
    <n v="7"/>
    <n v="2.4"/>
    <x v="0"/>
    <x v="0"/>
  </r>
  <r>
    <x v="7"/>
    <n v="193"/>
    <x v="1"/>
    <x v="0"/>
    <s v="No"/>
    <n v="0"/>
    <n v="96.8"/>
    <n v="92"/>
    <n v="16.46"/>
    <n v="142.6"/>
    <n v="103"/>
    <n v="12.12"/>
    <n v="210.1"/>
    <n v="115"/>
    <n v="9.4499999999999993"/>
    <n v="10.9"/>
    <n v="5"/>
    <n v="2.94"/>
    <x v="2"/>
    <x v="1"/>
  </r>
  <r>
    <x v="48"/>
    <n v="114"/>
    <x v="2"/>
    <x v="0"/>
    <s v="No"/>
    <n v="0"/>
    <n v="172"/>
    <n v="145"/>
    <n v="29.24"/>
    <n v="276.39999999999998"/>
    <n v="101"/>
    <n v="23.49"/>
    <n v="193.7"/>
    <n v="100"/>
    <n v="8.7200000000000006"/>
    <n v="10.1"/>
    <n v="9"/>
    <n v="2.73"/>
    <x v="0"/>
    <x v="0"/>
  </r>
  <r>
    <x v="38"/>
    <n v="7"/>
    <x v="0"/>
    <x v="0"/>
    <s v="Yes"/>
    <n v="30"/>
    <n v="221.4"/>
    <n v="114"/>
    <n v="37.64"/>
    <n v="165.8"/>
    <n v="116"/>
    <n v="14.09"/>
    <n v="247"/>
    <n v="105"/>
    <n v="11.12"/>
    <n v="10.8"/>
    <n v="12"/>
    <n v="2.92"/>
    <x v="0"/>
    <x v="0"/>
  </r>
  <r>
    <x v="28"/>
    <n v="71"/>
    <x v="1"/>
    <x v="0"/>
    <s v="No"/>
    <n v="0"/>
    <n v="243.7"/>
    <n v="124"/>
    <n v="41.43"/>
    <n v="60"/>
    <n v="90"/>
    <n v="5.0999999999999996"/>
    <n v="189"/>
    <n v="129"/>
    <n v="8.5"/>
    <n v="11.3"/>
    <n v="2"/>
    <n v="3.05"/>
    <x v="3"/>
    <x v="0"/>
  </r>
  <r>
    <x v="41"/>
    <n v="31"/>
    <x v="1"/>
    <x v="0"/>
    <s v="Yes"/>
    <n v="28"/>
    <n v="210.5"/>
    <n v="101"/>
    <n v="35.79"/>
    <n v="250.5"/>
    <n v="86"/>
    <n v="21.29"/>
    <n v="241.6"/>
    <n v="125"/>
    <n v="10.87"/>
    <n v="11.5"/>
    <n v="2"/>
    <n v="3.11"/>
    <x v="0"/>
    <x v="0"/>
  </r>
  <r>
    <x v="13"/>
    <n v="111"/>
    <x v="1"/>
    <x v="0"/>
    <s v="No"/>
    <n v="0"/>
    <n v="284.39999999999998"/>
    <n v="89"/>
    <n v="48.35"/>
    <n v="157"/>
    <n v="113"/>
    <n v="13.35"/>
    <n v="242.8"/>
    <n v="91"/>
    <n v="10.93"/>
    <n v="8.4"/>
    <n v="8"/>
    <n v="2.27"/>
    <x v="3"/>
    <x v="1"/>
  </r>
  <r>
    <x v="16"/>
    <n v="97"/>
    <x v="0"/>
    <x v="0"/>
    <s v="No"/>
    <n v="0"/>
    <n v="169.7"/>
    <n v="84"/>
    <n v="28.85"/>
    <n v="165.9"/>
    <n v="86"/>
    <n v="14.1"/>
    <n v="191.9"/>
    <n v="83"/>
    <n v="8.64"/>
    <n v="12.8"/>
    <n v="6"/>
    <n v="3.46"/>
    <x v="4"/>
    <x v="0"/>
  </r>
  <r>
    <x v="46"/>
    <n v="51"/>
    <x v="2"/>
    <x v="0"/>
    <s v="No"/>
    <n v="0"/>
    <n v="227.2"/>
    <n v="89"/>
    <n v="38.619999999999997"/>
    <n v="194.4"/>
    <n v="106"/>
    <n v="16.52"/>
    <n v="243.4"/>
    <n v="126"/>
    <n v="10.95"/>
    <n v="14.9"/>
    <n v="2"/>
    <n v="4.0199999999999996"/>
    <x v="3"/>
    <x v="0"/>
  </r>
  <r>
    <x v="32"/>
    <n v="86"/>
    <x v="1"/>
    <x v="0"/>
    <s v="No"/>
    <n v="0"/>
    <n v="223.9"/>
    <n v="75"/>
    <n v="38.06"/>
    <n v="155.69999999999999"/>
    <n v="109"/>
    <n v="13.23"/>
    <n v="150.19999999999999"/>
    <n v="143"/>
    <n v="6.76"/>
    <n v="7.3"/>
    <n v="9"/>
    <n v="1.97"/>
    <x v="0"/>
    <x v="0"/>
  </r>
  <r>
    <x v="46"/>
    <n v="190"/>
    <x v="1"/>
    <x v="0"/>
    <s v="No"/>
    <n v="0"/>
    <n v="169.4"/>
    <n v="102"/>
    <n v="28.8"/>
    <n v="253.5"/>
    <n v="113"/>
    <n v="21.55"/>
    <n v="197.1"/>
    <n v="93"/>
    <n v="8.8699999999999992"/>
    <n v="8.9"/>
    <n v="5"/>
    <n v="2.4"/>
    <x v="0"/>
    <x v="0"/>
  </r>
  <r>
    <x v="34"/>
    <n v="80"/>
    <x v="0"/>
    <x v="0"/>
    <s v="No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x v="0"/>
    <x v="0"/>
  </r>
  <r>
    <x v="21"/>
    <n v="36"/>
    <x v="1"/>
    <x v="0"/>
    <s v="No"/>
    <n v="0"/>
    <n v="202.4"/>
    <n v="115"/>
    <n v="34.409999999999997"/>
    <n v="230.7"/>
    <n v="115"/>
    <n v="19.61"/>
    <n v="202"/>
    <n v="127"/>
    <n v="9.09"/>
    <n v="10.199999999999999"/>
    <n v="2"/>
    <n v="2.75"/>
    <x v="4"/>
    <x v="0"/>
  </r>
  <r>
    <x v="42"/>
    <n v="45"/>
    <x v="2"/>
    <x v="0"/>
    <s v="No"/>
    <n v="0"/>
    <n v="155.69999999999999"/>
    <n v="110"/>
    <n v="26.47"/>
    <n v="260.3"/>
    <n v="103"/>
    <n v="22.13"/>
    <n v="192.2"/>
    <n v="98"/>
    <n v="8.65"/>
    <n v="11"/>
    <n v="1"/>
    <n v="2.97"/>
    <x v="0"/>
    <x v="0"/>
  </r>
  <r>
    <x v="31"/>
    <n v="170"/>
    <x v="1"/>
    <x v="0"/>
    <s v="No"/>
    <n v="0"/>
    <n v="246.4"/>
    <n v="107"/>
    <n v="41.89"/>
    <n v="228.1"/>
    <n v="124"/>
    <n v="19.39"/>
    <n v="166.4"/>
    <n v="95"/>
    <n v="7.49"/>
    <n v="9.1"/>
    <n v="8"/>
    <n v="2.46"/>
    <x v="3"/>
    <x v="0"/>
  </r>
  <r>
    <x v="37"/>
    <n v="103"/>
    <x v="1"/>
    <x v="0"/>
    <s v="No"/>
    <n v="0"/>
    <n v="189.8"/>
    <n v="110"/>
    <n v="32.270000000000003"/>
    <n v="115.5"/>
    <n v="83"/>
    <n v="9.82"/>
    <n v="191.3"/>
    <n v="103"/>
    <n v="8.61"/>
    <n v="12.2"/>
    <n v="4"/>
    <n v="3.29"/>
    <x v="3"/>
    <x v="0"/>
  </r>
  <r>
    <x v="9"/>
    <n v="112"/>
    <x v="0"/>
    <x v="0"/>
    <s v="No"/>
    <n v="0"/>
    <n v="167.8"/>
    <n v="88"/>
    <n v="28.53"/>
    <n v="247.9"/>
    <n v="81"/>
    <n v="21.07"/>
    <n v="155.1"/>
    <n v="108"/>
    <n v="6.98"/>
    <n v="11.9"/>
    <n v="4"/>
    <n v="3.21"/>
    <x v="3"/>
    <x v="0"/>
  </r>
  <r>
    <x v="12"/>
    <n v="125"/>
    <x v="2"/>
    <x v="0"/>
    <s v="No"/>
    <n v="0"/>
    <n v="143.19999999999999"/>
    <n v="80"/>
    <n v="24.34"/>
    <n v="88.1"/>
    <n v="94"/>
    <n v="7.49"/>
    <n v="233.2"/>
    <n v="135"/>
    <n v="10.49"/>
    <n v="8.8000000000000007"/>
    <n v="7"/>
    <n v="2.38"/>
    <x v="1"/>
    <x v="1"/>
  </r>
  <r>
    <x v="27"/>
    <n v="73"/>
    <x v="1"/>
    <x v="0"/>
    <s v="Yes"/>
    <n v="31"/>
    <n v="82.3"/>
    <n v="105"/>
    <n v="13.99"/>
    <n v="256.10000000000002"/>
    <n v="91"/>
    <n v="21.77"/>
    <n v="229.6"/>
    <n v="98"/>
    <n v="10.33"/>
    <n v="11.8"/>
    <n v="2"/>
    <n v="3.19"/>
    <x v="6"/>
    <x v="1"/>
  </r>
  <r>
    <x v="24"/>
    <n v="232"/>
    <x v="0"/>
    <x v="0"/>
    <s v="No"/>
    <n v="0"/>
    <n v="165.6"/>
    <n v="104"/>
    <n v="28.15"/>
    <n v="195.9"/>
    <n v="115"/>
    <n v="16.649999999999999"/>
    <n v="118.3"/>
    <n v="77"/>
    <n v="5.32"/>
    <n v="11.8"/>
    <n v="3"/>
    <n v="3.19"/>
    <x v="0"/>
    <x v="0"/>
  </r>
  <r>
    <x v="32"/>
    <n v="95"/>
    <x v="0"/>
    <x v="0"/>
    <s v="Yes"/>
    <n v="20"/>
    <n v="165.7"/>
    <n v="78"/>
    <n v="28.17"/>
    <n v="215.6"/>
    <n v="94"/>
    <n v="18.329999999999998"/>
    <n v="243.3"/>
    <n v="91"/>
    <n v="10.95"/>
    <n v="9.8000000000000007"/>
    <n v="6"/>
    <n v="2.65"/>
    <x v="3"/>
    <x v="0"/>
  </r>
  <r>
    <x v="8"/>
    <n v="182"/>
    <x v="1"/>
    <x v="0"/>
    <s v="No"/>
    <n v="0"/>
    <n v="176.1"/>
    <n v="90"/>
    <n v="29.94"/>
    <n v="174.9"/>
    <n v="106"/>
    <n v="14.87"/>
    <n v="234.7"/>
    <n v="134"/>
    <n v="10.56"/>
    <n v="9.6999999999999993"/>
    <n v="4"/>
    <n v="2.62"/>
    <x v="0"/>
    <x v="0"/>
  </r>
  <r>
    <x v="24"/>
    <n v="55"/>
    <x v="2"/>
    <x v="0"/>
    <s v="No"/>
    <n v="0"/>
    <n v="119.7"/>
    <n v="148"/>
    <n v="20.350000000000001"/>
    <n v="231.8"/>
    <n v="96"/>
    <n v="19.7"/>
    <n v="222.3"/>
    <n v="113"/>
    <n v="10"/>
    <n v="4.5999999999999996"/>
    <n v="2"/>
    <n v="1.24"/>
    <x v="2"/>
    <x v="0"/>
  </r>
  <r>
    <x v="8"/>
    <n v="86"/>
    <x v="1"/>
    <x v="0"/>
    <s v="Yes"/>
    <n v="30"/>
    <n v="99.9"/>
    <n v="84"/>
    <n v="16.98"/>
    <n v="263.5"/>
    <n v="125"/>
    <n v="22.4"/>
    <n v="254.7"/>
    <n v="90"/>
    <n v="11.46"/>
    <n v="9.8000000000000007"/>
    <n v="7"/>
    <n v="2.65"/>
    <x v="2"/>
    <x v="0"/>
  </r>
  <r>
    <x v="42"/>
    <n v="127"/>
    <x v="2"/>
    <x v="0"/>
    <s v="No"/>
    <n v="0"/>
    <n v="239.8"/>
    <n v="107"/>
    <n v="40.770000000000003"/>
    <n v="128.9"/>
    <n v="121"/>
    <n v="10.96"/>
    <n v="249.9"/>
    <n v="110"/>
    <n v="11.25"/>
    <n v="11.3"/>
    <n v="5"/>
    <n v="3.05"/>
    <x v="0"/>
    <x v="0"/>
  </r>
  <r>
    <x v="48"/>
    <n v="63"/>
    <x v="1"/>
    <x v="0"/>
    <s v="No"/>
    <n v="0"/>
    <n v="164.5"/>
    <n v="75"/>
    <n v="27.97"/>
    <n v="147.9"/>
    <n v="118"/>
    <n v="12.57"/>
    <n v="252.7"/>
    <n v="97"/>
    <n v="11.37"/>
    <n v="11.2"/>
    <n v="2"/>
    <n v="3.02"/>
    <x v="3"/>
    <x v="0"/>
  </r>
  <r>
    <x v="6"/>
    <n v="79"/>
    <x v="2"/>
    <x v="0"/>
    <s v="No"/>
    <n v="0"/>
    <n v="220.9"/>
    <n v="107"/>
    <n v="37.549999999999997"/>
    <n v="192.2"/>
    <n v="97"/>
    <n v="16.34"/>
    <n v="161"/>
    <n v="74"/>
    <n v="7.25"/>
    <n v="12.2"/>
    <n v="2"/>
    <n v="3.29"/>
    <x v="0"/>
    <x v="0"/>
  </r>
  <r>
    <x v="0"/>
    <n v="111"/>
    <x v="1"/>
    <x v="0"/>
    <s v="Yes"/>
    <n v="28"/>
    <n v="128.80000000000001"/>
    <n v="104"/>
    <n v="21.9"/>
    <n v="157.30000000000001"/>
    <n v="52"/>
    <n v="13.37"/>
    <n v="147.4"/>
    <n v="76"/>
    <n v="6.63"/>
    <n v="10.3"/>
    <n v="2"/>
    <n v="2.78"/>
    <x v="2"/>
    <x v="0"/>
  </r>
  <r>
    <x v="23"/>
    <n v="121"/>
    <x v="2"/>
    <x v="0"/>
    <s v="Yes"/>
    <n v="35"/>
    <n v="193.8"/>
    <n v="62"/>
    <n v="32.950000000000003"/>
    <n v="197.6"/>
    <n v="97"/>
    <n v="16.8"/>
    <n v="218.8"/>
    <n v="95"/>
    <n v="9.85"/>
    <n v="5.9"/>
    <n v="4"/>
    <n v="1.59"/>
    <x v="3"/>
    <x v="0"/>
  </r>
  <r>
    <x v="35"/>
    <n v="112"/>
    <x v="1"/>
    <x v="0"/>
    <s v="No"/>
    <n v="0"/>
    <n v="168.6"/>
    <n v="102"/>
    <n v="28.66"/>
    <n v="298"/>
    <n v="117"/>
    <n v="25.33"/>
    <n v="194.7"/>
    <n v="110"/>
    <n v="8.76"/>
    <n v="9.8000000000000007"/>
    <n v="5"/>
    <n v="2.65"/>
    <x v="0"/>
    <x v="0"/>
  </r>
  <r>
    <x v="0"/>
    <n v="81"/>
    <x v="1"/>
    <x v="0"/>
    <s v="Yes"/>
    <n v="36"/>
    <n v="115.9"/>
    <n v="120"/>
    <n v="19.7"/>
    <n v="236.6"/>
    <n v="95"/>
    <n v="20.11"/>
    <n v="255"/>
    <n v="90"/>
    <n v="11.48"/>
    <n v="11.7"/>
    <n v="6"/>
    <n v="3.16"/>
    <x v="4"/>
    <x v="0"/>
  </r>
  <r>
    <x v="16"/>
    <n v="72"/>
    <x v="2"/>
    <x v="0"/>
    <s v="No"/>
    <n v="0"/>
    <n v="272.39999999999998"/>
    <n v="88"/>
    <n v="46.31"/>
    <n v="107.9"/>
    <n v="125"/>
    <n v="9.17"/>
    <n v="185.5"/>
    <n v="81"/>
    <n v="8.35"/>
    <n v="12.7"/>
    <n v="2"/>
    <n v="3.43"/>
    <x v="3"/>
    <x v="0"/>
  </r>
  <r>
    <x v="3"/>
    <n v="64"/>
    <x v="2"/>
    <x v="0"/>
    <s v="Yes"/>
    <n v="40"/>
    <n v="210"/>
    <n v="116"/>
    <n v="35.700000000000003"/>
    <n v="232.7"/>
    <n v="89"/>
    <n v="19.78"/>
    <n v="168.8"/>
    <n v="94"/>
    <n v="7.6"/>
    <n v="5.9"/>
    <n v="4"/>
    <n v="1.59"/>
    <x v="7"/>
    <x v="0"/>
  </r>
  <r>
    <x v="43"/>
    <n v="163"/>
    <x v="0"/>
    <x v="0"/>
    <s v="No"/>
    <n v="0"/>
    <n v="223"/>
    <n v="120"/>
    <n v="37.909999999999997"/>
    <n v="227"/>
    <n v="98"/>
    <n v="19.3"/>
    <n v="188.3"/>
    <n v="125"/>
    <n v="8.4700000000000006"/>
    <n v="8.8000000000000007"/>
    <n v="5"/>
    <n v="2.38"/>
    <x v="0"/>
    <x v="0"/>
  </r>
  <r>
    <x v="18"/>
    <n v="104"/>
    <x v="1"/>
    <x v="0"/>
    <s v="No"/>
    <n v="0"/>
    <n v="139.69999999999999"/>
    <n v="78"/>
    <n v="23.75"/>
    <n v="202.6"/>
    <n v="119"/>
    <n v="17.22"/>
    <n v="203.6"/>
    <n v="102"/>
    <n v="9.16"/>
    <n v="11.3"/>
    <n v="5"/>
    <n v="3.05"/>
    <x v="2"/>
    <x v="0"/>
  </r>
  <r>
    <x v="17"/>
    <n v="93"/>
    <x v="2"/>
    <x v="0"/>
    <s v="Yes"/>
    <n v="19"/>
    <n v="136.80000000000001"/>
    <n v="113"/>
    <n v="23.26"/>
    <n v="179.5"/>
    <n v="105"/>
    <n v="15.26"/>
    <n v="71.099999999999994"/>
    <n v="95"/>
    <n v="3.2"/>
    <n v="12.5"/>
    <n v="3"/>
    <n v="3.38"/>
    <x v="2"/>
    <x v="0"/>
  </r>
  <r>
    <x v="42"/>
    <n v="197"/>
    <x v="2"/>
    <x v="0"/>
    <s v="No"/>
    <n v="0"/>
    <n v="154.80000000000001"/>
    <n v="111"/>
    <n v="26.32"/>
    <n v="171.5"/>
    <n v="102"/>
    <n v="14.58"/>
    <n v="227.3"/>
    <n v="86"/>
    <n v="10.23"/>
    <n v="10.6"/>
    <n v="2"/>
    <n v="2.86"/>
    <x v="4"/>
    <x v="0"/>
  </r>
  <r>
    <x v="47"/>
    <n v="57"/>
    <x v="2"/>
    <x v="0"/>
    <s v="No"/>
    <n v="0"/>
    <n v="192.8"/>
    <n v="68"/>
    <n v="32.78"/>
    <n v="158"/>
    <n v="86"/>
    <n v="13.43"/>
    <n v="235.5"/>
    <n v="105"/>
    <n v="10.6"/>
    <n v="12.7"/>
    <n v="6"/>
    <n v="3.43"/>
    <x v="0"/>
    <x v="0"/>
  </r>
  <r>
    <x v="34"/>
    <n v="107"/>
    <x v="0"/>
    <x v="0"/>
    <s v="No"/>
    <n v="0"/>
    <n v="103.4"/>
    <n v="94"/>
    <n v="17.579999999999998"/>
    <n v="189.3"/>
    <n v="125"/>
    <n v="16.09"/>
    <n v="227.2"/>
    <n v="125"/>
    <n v="10.220000000000001"/>
    <n v="14.4"/>
    <n v="3"/>
    <n v="3.89"/>
    <x v="0"/>
    <x v="0"/>
  </r>
  <r>
    <x v="32"/>
    <n v="75"/>
    <x v="0"/>
    <x v="0"/>
    <s v="No"/>
    <n v="0"/>
    <n v="147.5"/>
    <n v="110"/>
    <n v="25.08"/>
    <n v="191.7"/>
    <n v="97"/>
    <n v="16.29"/>
    <n v="135"/>
    <n v="68"/>
    <n v="6.08"/>
    <n v="16.399999999999999"/>
    <n v="3"/>
    <n v="4.43"/>
    <x v="2"/>
    <x v="0"/>
  </r>
  <r>
    <x v="29"/>
    <n v="106"/>
    <x v="0"/>
    <x v="0"/>
    <s v="No"/>
    <n v="0"/>
    <n v="178.4"/>
    <n v="143"/>
    <n v="30.33"/>
    <n v="247"/>
    <n v="123"/>
    <n v="21"/>
    <n v="259.89999999999998"/>
    <n v="105"/>
    <n v="11.7"/>
    <n v="9.6"/>
    <n v="2"/>
    <n v="2.59"/>
    <x v="3"/>
    <x v="0"/>
  </r>
  <r>
    <x v="27"/>
    <n v="70"/>
    <x v="0"/>
    <x v="0"/>
    <s v="No"/>
    <n v="0"/>
    <n v="148.4"/>
    <n v="110"/>
    <n v="25.23"/>
    <n v="267.10000000000002"/>
    <n v="90"/>
    <n v="22.7"/>
    <n v="151.5"/>
    <n v="101"/>
    <n v="6.82"/>
    <n v="8.9"/>
    <n v="4"/>
    <n v="2.4"/>
    <x v="3"/>
    <x v="0"/>
  </r>
  <r>
    <x v="13"/>
    <n v="80"/>
    <x v="0"/>
    <x v="0"/>
    <s v="No"/>
    <n v="0"/>
    <n v="148.6"/>
    <n v="106"/>
    <n v="25.26"/>
    <n v="210.8"/>
    <n v="65"/>
    <n v="17.920000000000002"/>
    <n v="203.7"/>
    <n v="86"/>
    <n v="9.17"/>
    <n v="10"/>
    <n v="2"/>
    <n v="2.7"/>
    <x v="2"/>
    <x v="0"/>
  </r>
  <r>
    <x v="11"/>
    <n v="137"/>
    <x v="2"/>
    <x v="0"/>
    <s v="No"/>
    <n v="0"/>
    <n v="97.5"/>
    <n v="95"/>
    <n v="16.579999999999998"/>
    <n v="195.8"/>
    <n v="82"/>
    <n v="16.64"/>
    <n v="288.8"/>
    <n v="78"/>
    <n v="13"/>
    <n v="0"/>
    <n v="0"/>
    <n v="0"/>
    <x v="0"/>
    <x v="0"/>
  </r>
  <r>
    <x v="41"/>
    <n v="90"/>
    <x v="1"/>
    <x v="0"/>
    <s v="Yes"/>
    <n v="29"/>
    <n v="185.6"/>
    <n v="106"/>
    <n v="31.55"/>
    <n v="219.7"/>
    <n v="113"/>
    <n v="18.670000000000002"/>
    <n v="152.1"/>
    <n v="120"/>
    <n v="6.84"/>
    <n v="11.1"/>
    <n v="5"/>
    <n v="3"/>
    <x v="2"/>
    <x v="0"/>
  </r>
  <r>
    <x v="34"/>
    <n v="30"/>
    <x v="0"/>
    <x v="0"/>
    <s v="No"/>
    <n v="0"/>
    <n v="137.6"/>
    <n v="108"/>
    <n v="23.39"/>
    <n v="162"/>
    <n v="80"/>
    <n v="13.77"/>
    <n v="187.7"/>
    <n v="126"/>
    <n v="8.4499999999999993"/>
    <n v="5.8"/>
    <n v="10"/>
    <n v="1.57"/>
    <x v="4"/>
    <x v="0"/>
  </r>
  <r>
    <x v="30"/>
    <n v="105"/>
    <x v="1"/>
    <x v="1"/>
    <s v="No"/>
    <n v="0"/>
    <n v="273.89999999999998"/>
    <n v="119"/>
    <n v="46.56"/>
    <n v="278.60000000000002"/>
    <n v="103"/>
    <n v="23.68"/>
    <n v="255.3"/>
    <n v="90"/>
    <n v="11.49"/>
    <n v="10.9"/>
    <n v="7"/>
    <n v="2.94"/>
    <x v="0"/>
    <x v="1"/>
  </r>
  <r>
    <x v="13"/>
    <n v="102"/>
    <x v="1"/>
    <x v="0"/>
    <s v="Yes"/>
    <n v="31"/>
    <n v="125.3"/>
    <n v="92"/>
    <n v="21.3"/>
    <n v="141.19999999999999"/>
    <n v="108"/>
    <n v="12"/>
    <n v="168.2"/>
    <n v="68"/>
    <n v="7.57"/>
    <n v="6.3"/>
    <n v="2"/>
    <n v="1.7"/>
    <x v="4"/>
    <x v="0"/>
  </r>
  <r>
    <x v="42"/>
    <n v="83"/>
    <x v="1"/>
    <x v="0"/>
    <s v="No"/>
    <n v="0"/>
    <n v="178.8"/>
    <n v="102"/>
    <n v="30.4"/>
    <n v="167.9"/>
    <n v="84"/>
    <n v="14.27"/>
    <n v="178.9"/>
    <n v="65"/>
    <n v="8.0500000000000007"/>
    <n v="8.6"/>
    <n v="4"/>
    <n v="2.3199999999999998"/>
    <x v="4"/>
    <x v="0"/>
  </r>
  <r>
    <x v="47"/>
    <n v="63"/>
    <x v="2"/>
    <x v="0"/>
    <s v="Yes"/>
    <n v="49"/>
    <n v="214.9"/>
    <n v="86"/>
    <n v="36.53"/>
    <n v="198.2"/>
    <n v="89"/>
    <n v="16.850000000000001"/>
    <n v="170.8"/>
    <n v="139"/>
    <n v="7.69"/>
    <n v="8.1999999999999993"/>
    <n v="5"/>
    <n v="2.21"/>
    <x v="3"/>
    <x v="0"/>
  </r>
  <r>
    <x v="27"/>
    <n v="155"/>
    <x v="0"/>
    <x v="0"/>
    <s v="No"/>
    <n v="0"/>
    <n v="163"/>
    <n v="93"/>
    <n v="27.71"/>
    <n v="203.9"/>
    <n v="102"/>
    <n v="17.329999999999998"/>
    <n v="159"/>
    <n v="109"/>
    <n v="7.15"/>
    <n v="15.1"/>
    <n v="4"/>
    <n v="4.08"/>
    <x v="2"/>
    <x v="0"/>
  </r>
  <r>
    <x v="40"/>
    <n v="105"/>
    <x v="0"/>
    <x v="0"/>
    <s v="No"/>
    <n v="0"/>
    <n v="115.5"/>
    <n v="73"/>
    <n v="19.64"/>
    <n v="267.3"/>
    <n v="83"/>
    <n v="22.72"/>
    <n v="114.2"/>
    <n v="90"/>
    <n v="5.14"/>
    <n v="13.3"/>
    <n v="5"/>
    <n v="3.59"/>
    <x v="4"/>
    <x v="0"/>
  </r>
  <r>
    <x v="49"/>
    <n v="73"/>
    <x v="1"/>
    <x v="0"/>
    <s v="No"/>
    <n v="0"/>
    <n v="137.1"/>
    <n v="102"/>
    <n v="23.31"/>
    <n v="210.8"/>
    <n v="114"/>
    <n v="17.920000000000002"/>
    <n v="191.4"/>
    <n v="120"/>
    <n v="8.61"/>
    <n v="11.1"/>
    <n v="4"/>
    <n v="3"/>
    <x v="0"/>
    <x v="0"/>
  </r>
  <r>
    <x v="24"/>
    <n v="21"/>
    <x v="1"/>
    <x v="0"/>
    <s v="Yes"/>
    <n v="19"/>
    <n v="132.69999999999999"/>
    <n v="94"/>
    <n v="22.56"/>
    <n v="204.6"/>
    <n v="101"/>
    <n v="17.39"/>
    <n v="154.69999999999999"/>
    <n v="78"/>
    <n v="6.96"/>
    <n v="12.9"/>
    <n v="7"/>
    <n v="3.48"/>
    <x v="4"/>
    <x v="0"/>
  </r>
  <r>
    <x v="26"/>
    <n v="71"/>
    <x v="1"/>
    <x v="0"/>
    <s v="Yes"/>
    <n v="39"/>
    <n v="183.2"/>
    <n v="103"/>
    <n v="31.14"/>
    <n v="209.4"/>
    <n v="111"/>
    <n v="17.8"/>
    <n v="172.4"/>
    <n v="109"/>
    <n v="7.76"/>
    <n v="11.9"/>
    <n v="6"/>
    <n v="3.21"/>
    <x v="0"/>
    <x v="0"/>
  </r>
  <r>
    <x v="14"/>
    <n v="112"/>
    <x v="1"/>
    <x v="0"/>
    <s v="No"/>
    <n v="0"/>
    <n v="170.5"/>
    <n v="113"/>
    <n v="28.99"/>
    <n v="193.2"/>
    <n v="129"/>
    <n v="16.420000000000002"/>
    <n v="188"/>
    <n v="91"/>
    <n v="8.4600000000000009"/>
    <n v="11.2"/>
    <n v="6"/>
    <n v="3.02"/>
    <x v="3"/>
    <x v="0"/>
  </r>
  <r>
    <x v="16"/>
    <n v="66"/>
    <x v="2"/>
    <x v="0"/>
    <s v="No"/>
    <n v="0"/>
    <n v="154"/>
    <n v="133"/>
    <n v="26.18"/>
    <n v="198.9"/>
    <n v="121"/>
    <n v="16.91"/>
    <n v="151.9"/>
    <n v="100"/>
    <n v="6.84"/>
    <n v="9.5"/>
    <n v="3"/>
    <n v="2.57"/>
    <x v="1"/>
    <x v="1"/>
  </r>
  <r>
    <x v="48"/>
    <n v="99"/>
    <x v="0"/>
    <x v="0"/>
    <s v="No"/>
    <n v="0"/>
    <n v="54.8"/>
    <n v="92"/>
    <n v="9.32"/>
    <n v="173"/>
    <n v="103"/>
    <n v="14.71"/>
    <n v="195.1"/>
    <n v="125"/>
    <n v="8.7799999999999994"/>
    <n v="7.5"/>
    <n v="3"/>
    <n v="2.0299999999999998"/>
    <x v="0"/>
    <x v="0"/>
  </r>
  <r>
    <x v="44"/>
    <n v="124"/>
    <x v="2"/>
    <x v="0"/>
    <s v="No"/>
    <n v="0"/>
    <n v="184.8"/>
    <n v="74"/>
    <n v="31.42"/>
    <n v="175.1"/>
    <n v="84"/>
    <n v="14.88"/>
    <n v="158.19999999999999"/>
    <n v="95"/>
    <n v="7.12"/>
    <n v="10.5"/>
    <n v="6"/>
    <n v="2.84"/>
    <x v="0"/>
    <x v="0"/>
  </r>
  <r>
    <x v="34"/>
    <n v="95"/>
    <x v="1"/>
    <x v="0"/>
    <s v="Yes"/>
    <n v="36"/>
    <n v="283.10000000000002"/>
    <n v="112"/>
    <n v="48.13"/>
    <n v="286.2"/>
    <n v="86"/>
    <n v="24.33"/>
    <n v="261.7"/>
    <n v="129"/>
    <n v="11.78"/>
    <n v="11.3"/>
    <n v="3"/>
    <n v="3.05"/>
    <x v="4"/>
    <x v="0"/>
  </r>
  <r>
    <x v="23"/>
    <n v="130"/>
    <x v="0"/>
    <x v="0"/>
    <s v="No"/>
    <n v="0"/>
    <n v="68.400000000000006"/>
    <n v="86"/>
    <n v="11.63"/>
    <n v="193.3"/>
    <n v="110"/>
    <n v="16.43"/>
    <n v="171.5"/>
    <n v="139"/>
    <n v="7.72"/>
    <n v="10.4"/>
    <n v="4"/>
    <n v="2.81"/>
    <x v="3"/>
    <x v="0"/>
  </r>
  <r>
    <x v="43"/>
    <n v="93"/>
    <x v="2"/>
    <x v="1"/>
    <s v="No"/>
    <n v="0"/>
    <n v="131.4"/>
    <n v="78"/>
    <n v="22.34"/>
    <n v="219.7"/>
    <n v="106"/>
    <n v="18.670000000000002"/>
    <n v="155.69999999999999"/>
    <n v="103"/>
    <n v="7.01"/>
    <n v="11.1"/>
    <n v="2"/>
    <n v="3"/>
    <x v="0"/>
    <x v="1"/>
  </r>
  <r>
    <x v="44"/>
    <n v="191"/>
    <x v="0"/>
    <x v="0"/>
    <s v="No"/>
    <n v="0"/>
    <n v="162"/>
    <n v="104"/>
    <n v="27.54"/>
    <n v="241.2"/>
    <n v="120"/>
    <n v="20.5"/>
    <n v="210.4"/>
    <n v="83"/>
    <n v="9.4700000000000006"/>
    <n v="10.9"/>
    <n v="7"/>
    <n v="2.94"/>
    <x v="0"/>
    <x v="0"/>
  </r>
  <r>
    <x v="14"/>
    <n v="88"/>
    <x v="1"/>
    <x v="0"/>
    <s v="No"/>
    <n v="0"/>
    <n v="148.19999999999999"/>
    <n v="82"/>
    <n v="25.19"/>
    <n v="308.7"/>
    <n v="67"/>
    <n v="26.24"/>
    <n v="235.4"/>
    <n v="79"/>
    <n v="10.59"/>
    <n v="6.4"/>
    <n v="4"/>
    <n v="1.73"/>
    <x v="2"/>
    <x v="0"/>
  </r>
  <r>
    <x v="28"/>
    <n v="16"/>
    <x v="1"/>
    <x v="0"/>
    <s v="No"/>
    <n v="0"/>
    <n v="174.7"/>
    <n v="83"/>
    <n v="29.7"/>
    <n v="280.8"/>
    <n v="122"/>
    <n v="23.87"/>
    <n v="171.7"/>
    <n v="80"/>
    <n v="7.73"/>
    <n v="10.5"/>
    <n v="8"/>
    <n v="2.84"/>
    <x v="5"/>
    <x v="0"/>
  </r>
  <r>
    <x v="50"/>
    <n v="107"/>
    <x v="2"/>
    <x v="0"/>
    <s v="No"/>
    <n v="0"/>
    <n v="194.5"/>
    <n v="97"/>
    <n v="33.07"/>
    <n v="186.3"/>
    <n v="131"/>
    <n v="15.84"/>
    <n v="178.3"/>
    <n v="106"/>
    <n v="8.02"/>
    <n v="12.7"/>
    <n v="1"/>
    <n v="3.43"/>
    <x v="2"/>
    <x v="0"/>
  </r>
  <r>
    <x v="5"/>
    <n v="96"/>
    <x v="0"/>
    <x v="0"/>
    <s v="Yes"/>
    <n v="29"/>
    <n v="150"/>
    <n v="91"/>
    <n v="25.5"/>
    <n v="159.4"/>
    <n v="75"/>
    <n v="13.55"/>
    <n v="228.1"/>
    <n v="55"/>
    <n v="10.26"/>
    <n v="8.5"/>
    <n v="3"/>
    <n v="2.2999999999999998"/>
    <x v="0"/>
    <x v="0"/>
  </r>
  <r>
    <x v="34"/>
    <n v="163"/>
    <x v="0"/>
    <x v="0"/>
    <s v="Yes"/>
    <n v="40"/>
    <n v="231.9"/>
    <n v="56"/>
    <n v="39.42"/>
    <n v="211.8"/>
    <n v="91"/>
    <n v="18"/>
    <n v="268.5"/>
    <n v="74"/>
    <n v="12.08"/>
    <n v="12.3"/>
    <n v="3"/>
    <n v="3.32"/>
    <x v="2"/>
    <x v="0"/>
  </r>
  <r>
    <x v="25"/>
    <n v="95"/>
    <x v="1"/>
    <x v="0"/>
    <s v="No"/>
    <n v="0"/>
    <n v="269"/>
    <n v="120"/>
    <n v="45.73"/>
    <n v="233.7"/>
    <n v="120"/>
    <n v="19.86"/>
    <n v="179.3"/>
    <n v="61"/>
    <n v="8.07"/>
    <n v="7.3"/>
    <n v="4"/>
    <n v="1.97"/>
    <x v="2"/>
    <x v="1"/>
  </r>
  <r>
    <x v="33"/>
    <n v="123"/>
    <x v="1"/>
    <x v="0"/>
    <s v="Yes"/>
    <n v="27"/>
    <n v="198.7"/>
    <n v="127"/>
    <n v="33.78"/>
    <n v="249"/>
    <n v="105"/>
    <n v="21.17"/>
    <n v="173.2"/>
    <n v="124"/>
    <n v="7.79"/>
    <n v="12.5"/>
    <n v="5"/>
    <n v="3.38"/>
    <x v="0"/>
    <x v="0"/>
  </r>
  <r>
    <x v="13"/>
    <n v="34"/>
    <x v="1"/>
    <x v="0"/>
    <s v="No"/>
    <n v="0"/>
    <n v="293.7"/>
    <n v="89"/>
    <n v="49.93"/>
    <n v="272.5"/>
    <n v="71"/>
    <n v="23.16"/>
    <n v="178.2"/>
    <n v="76"/>
    <n v="8.02"/>
    <n v="11"/>
    <n v="10"/>
    <n v="2.97"/>
    <x v="2"/>
    <x v="1"/>
  </r>
  <r>
    <x v="36"/>
    <n v="96"/>
    <x v="1"/>
    <x v="0"/>
    <s v="Yes"/>
    <n v="26"/>
    <n v="175.8"/>
    <n v="96"/>
    <n v="29.89"/>
    <n v="206.6"/>
    <n v="84"/>
    <n v="17.559999999999999"/>
    <n v="178"/>
    <n v="105"/>
    <n v="8.01"/>
    <n v="11.1"/>
    <n v="2"/>
    <n v="3"/>
    <x v="2"/>
    <x v="0"/>
  </r>
  <r>
    <x v="20"/>
    <n v="146"/>
    <x v="1"/>
    <x v="0"/>
    <s v="No"/>
    <n v="0"/>
    <n v="169.5"/>
    <n v="93"/>
    <n v="28.82"/>
    <n v="230.9"/>
    <n v="71"/>
    <n v="19.63"/>
    <n v="269.8"/>
    <n v="115"/>
    <n v="12.14"/>
    <n v="9"/>
    <n v="7"/>
    <n v="2.4300000000000002"/>
    <x v="2"/>
    <x v="0"/>
  </r>
  <r>
    <x v="7"/>
    <n v="138"/>
    <x v="1"/>
    <x v="1"/>
    <s v="Yes"/>
    <n v="17"/>
    <n v="225.2"/>
    <n v="116"/>
    <n v="38.28"/>
    <n v="173.4"/>
    <n v="88"/>
    <n v="14.74"/>
    <n v="145.80000000000001"/>
    <n v="99"/>
    <n v="6.56"/>
    <n v="11.7"/>
    <n v="4"/>
    <n v="3.16"/>
    <x v="3"/>
    <x v="0"/>
  </r>
  <r>
    <x v="21"/>
    <n v="76"/>
    <x v="2"/>
    <x v="0"/>
    <s v="No"/>
    <n v="0"/>
    <n v="129.69999999999999"/>
    <n v="84"/>
    <n v="22.05"/>
    <n v="177.5"/>
    <n v="80"/>
    <n v="15.09"/>
    <n v="228.9"/>
    <n v="87"/>
    <n v="10.3"/>
    <n v="7.5"/>
    <n v="3"/>
    <n v="2.0299999999999998"/>
    <x v="5"/>
    <x v="1"/>
  </r>
  <r>
    <x v="31"/>
    <n v="83"/>
    <x v="2"/>
    <x v="0"/>
    <s v="Yes"/>
    <n v="36"/>
    <n v="95.9"/>
    <n v="87"/>
    <n v="16.3"/>
    <n v="261.60000000000002"/>
    <n v="105"/>
    <n v="22.24"/>
    <n v="228.6"/>
    <n v="109"/>
    <n v="10.29"/>
    <n v="13.3"/>
    <n v="4"/>
    <n v="3.59"/>
    <x v="3"/>
    <x v="0"/>
  </r>
  <r>
    <x v="4"/>
    <n v="104"/>
    <x v="0"/>
    <x v="0"/>
    <s v="No"/>
    <n v="0"/>
    <n v="170.6"/>
    <n v="97"/>
    <n v="29"/>
    <n v="162.1"/>
    <n v="111"/>
    <n v="13.78"/>
    <n v="210.7"/>
    <n v="131"/>
    <n v="9.48"/>
    <n v="6.1"/>
    <n v="1"/>
    <n v="1.65"/>
    <x v="0"/>
    <x v="0"/>
  </r>
  <r>
    <x v="42"/>
    <n v="106"/>
    <x v="1"/>
    <x v="0"/>
    <s v="No"/>
    <n v="0"/>
    <n v="191.4"/>
    <n v="124"/>
    <n v="32.54"/>
    <n v="200.7"/>
    <n v="116"/>
    <n v="17.059999999999999"/>
    <n v="230.1"/>
    <n v="76"/>
    <n v="10.35"/>
    <n v="8.1999999999999993"/>
    <n v="3"/>
    <n v="2.21"/>
    <x v="0"/>
    <x v="0"/>
  </r>
  <r>
    <x v="27"/>
    <n v="84"/>
    <x v="2"/>
    <x v="0"/>
    <s v="No"/>
    <n v="0"/>
    <n v="75.3"/>
    <n v="96"/>
    <n v="12.8"/>
    <n v="179.9"/>
    <n v="113"/>
    <n v="15.29"/>
    <n v="193.8"/>
    <n v="134"/>
    <n v="8.7200000000000006"/>
    <n v="12.3"/>
    <n v="1"/>
    <n v="3.32"/>
    <x v="0"/>
    <x v="0"/>
  </r>
  <r>
    <x v="10"/>
    <n v="99"/>
    <x v="0"/>
    <x v="0"/>
    <s v="No"/>
    <n v="0"/>
    <n v="128.80000000000001"/>
    <n v="86"/>
    <n v="21.9"/>
    <n v="203.9"/>
    <n v="105"/>
    <n v="17.329999999999998"/>
    <n v="282.60000000000002"/>
    <n v="131"/>
    <n v="12.72"/>
    <n v="14.1"/>
    <n v="4"/>
    <n v="3.81"/>
    <x v="2"/>
    <x v="0"/>
  </r>
  <r>
    <x v="35"/>
    <n v="134"/>
    <x v="1"/>
    <x v="0"/>
    <s v="No"/>
    <n v="0"/>
    <n v="141.69999999999999"/>
    <n v="95"/>
    <n v="24.09"/>
    <n v="205.6"/>
    <n v="101"/>
    <n v="17.48"/>
    <n v="218.5"/>
    <n v="60"/>
    <n v="9.83"/>
    <n v="8.8000000000000007"/>
    <n v="6"/>
    <n v="2.38"/>
    <x v="3"/>
    <x v="0"/>
  </r>
  <r>
    <x v="42"/>
    <n v="80"/>
    <x v="1"/>
    <x v="0"/>
    <s v="No"/>
    <n v="0"/>
    <n v="268.7"/>
    <n v="120"/>
    <n v="45.68"/>
    <n v="301"/>
    <n v="147"/>
    <n v="25.59"/>
    <n v="167"/>
    <n v="140"/>
    <n v="7.52"/>
    <n v="5.8"/>
    <n v="1"/>
    <n v="1.57"/>
    <x v="2"/>
    <x v="1"/>
  </r>
  <r>
    <x v="10"/>
    <n v="85"/>
    <x v="1"/>
    <x v="0"/>
    <s v="No"/>
    <n v="0"/>
    <n v="255.3"/>
    <n v="114"/>
    <n v="43.4"/>
    <n v="194.6"/>
    <n v="83"/>
    <n v="16.54"/>
    <n v="276.60000000000002"/>
    <n v="78"/>
    <n v="12.45"/>
    <n v="3.7"/>
    <n v="5"/>
    <n v="1"/>
    <x v="4"/>
    <x v="0"/>
  </r>
  <r>
    <x v="9"/>
    <n v="120"/>
    <x v="0"/>
    <x v="0"/>
    <s v="Yes"/>
    <n v="26"/>
    <n v="239.4"/>
    <n v="94"/>
    <n v="40.700000000000003"/>
    <n v="259.39999999999998"/>
    <n v="88"/>
    <n v="22.05"/>
    <n v="238"/>
    <n v="132"/>
    <n v="10.71"/>
    <n v="7.7"/>
    <n v="3"/>
    <n v="2.08"/>
    <x v="3"/>
    <x v="0"/>
  </r>
  <r>
    <x v="30"/>
    <n v="120"/>
    <x v="2"/>
    <x v="0"/>
    <s v="No"/>
    <n v="0"/>
    <n v="158"/>
    <n v="110"/>
    <n v="26.86"/>
    <n v="197"/>
    <n v="103"/>
    <n v="16.75"/>
    <n v="154.9"/>
    <n v="132"/>
    <n v="6.97"/>
    <n v="10"/>
    <n v="5"/>
    <n v="2.7"/>
    <x v="0"/>
    <x v="0"/>
  </r>
  <r>
    <x v="42"/>
    <n v="125"/>
    <x v="1"/>
    <x v="0"/>
    <s v="No"/>
    <n v="0"/>
    <n v="182.3"/>
    <n v="64"/>
    <n v="30.99"/>
    <n v="139.80000000000001"/>
    <n v="121"/>
    <n v="11.88"/>
    <n v="171.6"/>
    <n v="96"/>
    <n v="7.72"/>
    <n v="11.6"/>
    <n v="7"/>
    <n v="3.13"/>
    <x v="2"/>
    <x v="0"/>
  </r>
  <r>
    <x v="46"/>
    <n v="118"/>
    <x v="1"/>
    <x v="0"/>
    <s v="Yes"/>
    <n v="39"/>
    <n v="91.5"/>
    <n v="125"/>
    <n v="15.56"/>
    <n v="219.9"/>
    <n v="113"/>
    <n v="18.690000000000001"/>
    <n v="229"/>
    <n v="99"/>
    <n v="10.31"/>
    <n v="12.7"/>
    <n v="8"/>
    <n v="3.43"/>
    <x v="2"/>
    <x v="0"/>
  </r>
  <r>
    <x v="28"/>
    <n v="62"/>
    <x v="1"/>
    <x v="0"/>
    <s v="No"/>
    <n v="0"/>
    <n v="172.4"/>
    <n v="132"/>
    <n v="29.31"/>
    <n v="230.5"/>
    <n v="100"/>
    <n v="19.59"/>
    <n v="228.2"/>
    <n v="109"/>
    <n v="10.27"/>
    <n v="11"/>
    <n v="5"/>
    <n v="2.97"/>
    <x v="3"/>
    <x v="0"/>
  </r>
  <r>
    <x v="0"/>
    <n v="112"/>
    <x v="2"/>
    <x v="0"/>
    <s v="No"/>
    <n v="0"/>
    <n v="174.5"/>
    <n v="127"/>
    <n v="29.67"/>
    <n v="259.3"/>
    <n v="71"/>
    <n v="22.04"/>
    <n v="170.5"/>
    <n v="120"/>
    <n v="7.67"/>
    <n v="11.3"/>
    <n v="7"/>
    <n v="3.05"/>
    <x v="0"/>
    <x v="0"/>
  </r>
  <r>
    <x v="22"/>
    <n v="68"/>
    <x v="2"/>
    <x v="0"/>
    <s v="No"/>
    <n v="0"/>
    <n v="157.30000000000001"/>
    <n v="83"/>
    <n v="26.74"/>
    <n v="220.9"/>
    <n v="85"/>
    <n v="18.78"/>
    <n v="218.9"/>
    <n v="129"/>
    <n v="9.85"/>
    <n v="12"/>
    <n v="7"/>
    <n v="3.24"/>
    <x v="0"/>
    <x v="0"/>
  </r>
  <r>
    <x v="26"/>
    <n v="201"/>
    <x v="1"/>
    <x v="0"/>
    <s v="Yes"/>
    <n v="21"/>
    <n v="192"/>
    <n v="97"/>
    <n v="32.64"/>
    <n v="239.1"/>
    <n v="81"/>
    <n v="20.32"/>
    <n v="116.1"/>
    <n v="125"/>
    <n v="5.22"/>
    <n v="15.1"/>
    <n v="3"/>
    <n v="4.08"/>
    <x v="0"/>
    <x v="0"/>
  </r>
  <r>
    <x v="47"/>
    <n v="116"/>
    <x v="2"/>
    <x v="0"/>
    <s v="No"/>
    <n v="0"/>
    <n v="160.69999999999999"/>
    <n v="69"/>
    <n v="27.32"/>
    <n v="146.80000000000001"/>
    <n v="106"/>
    <n v="12.48"/>
    <n v="287.8"/>
    <n v="144"/>
    <n v="12.95"/>
    <n v="8.1999999999999993"/>
    <n v="5"/>
    <n v="2.21"/>
    <x v="3"/>
    <x v="0"/>
  </r>
  <r>
    <x v="50"/>
    <n v="133"/>
    <x v="2"/>
    <x v="0"/>
    <s v="No"/>
    <n v="0"/>
    <n v="227.4"/>
    <n v="90"/>
    <n v="38.659999999999997"/>
    <n v="73.2"/>
    <n v="135"/>
    <n v="6.22"/>
    <n v="114.3"/>
    <n v="99"/>
    <n v="5.14"/>
    <n v="4.7"/>
    <n v="7"/>
    <n v="1.27"/>
    <x v="3"/>
    <x v="0"/>
  </r>
  <r>
    <x v="14"/>
    <n v="125"/>
    <x v="0"/>
    <x v="0"/>
    <s v="No"/>
    <n v="0"/>
    <n v="191.6"/>
    <n v="115"/>
    <n v="32.57"/>
    <n v="205.6"/>
    <n v="108"/>
    <n v="17.48"/>
    <n v="210.2"/>
    <n v="123"/>
    <n v="9.4600000000000009"/>
    <n v="9.1999999999999993"/>
    <n v="3"/>
    <n v="2.48"/>
    <x v="2"/>
    <x v="0"/>
  </r>
  <r>
    <x v="19"/>
    <n v="21"/>
    <x v="2"/>
    <x v="0"/>
    <s v="No"/>
    <n v="0"/>
    <n v="225"/>
    <n v="110"/>
    <n v="38.25"/>
    <n v="244.2"/>
    <n v="111"/>
    <n v="20.76"/>
    <n v="221.2"/>
    <n v="93"/>
    <n v="9.9499999999999993"/>
    <n v="10.7"/>
    <n v="4"/>
    <n v="2.89"/>
    <x v="3"/>
    <x v="0"/>
  </r>
  <r>
    <x v="46"/>
    <n v="110"/>
    <x v="0"/>
    <x v="0"/>
    <s v="No"/>
    <n v="0"/>
    <n v="196.1"/>
    <n v="103"/>
    <n v="33.340000000000003"/>
    <n v="199.7"/>
    <n v="123"/>
    <n v="16.97"/>
    <n v="135.9"/>
    <n v="71"/>
    <n v="6.12"/>
    <n v="12.9"/>
    <n v="1"/>
    <n v="3.48"/>
    <x v="4"/>
    <x v="0"/>
  </r>
  <r>
    <x v="23"/>
    <n v="83"/>
    <x v="1"/>
    <x v="0"/>
    <s v="No"/>
    <n v="0"/>
    <n v="231.3"/>
    <n v="100"/>
    <n v="39.32"/>
    <n v="210.4"/>
    <n v="84"/>
    <n v="17.88"/>
    <n v="217.4"/>
    <n v="106"/>
    <n v="9.7799999999999994"/>
    <n v="12.4"/>
    <n v="2"/>
    <n v="3.35"/>
    <x v="4"/>
    <x v="0"/>
  </r>
  <r>
    <x v="1"/>
    <n v="101"/>
    <x v="1"/>
    <x v="0"/>
    <s v="Yes"/>
    <n v="42"/>
    <n v="209.2"/>
    <n v="82"/>
    <n v="35.56"/>
    <n v="159.69999999999999"/>
    <n v="74"/>
    <n v="13.57"/>
    <n v="181.6"/>
    <n v="100"/>
    <n v="8.17"/>
    <n v="9.5"/>
    <n v="3"/>
    <n v="2.57"/>
    <x v="3"/>
    <x v="0"/>
  </r>
  <r>
    <x v="25"/>
    <n v="117"/>
    <x v="1"/>
    <x v="0"/>
    <s v="Yes"/>
    <n v="17"/>
    <n v="221.3"/>
    <n v="82"/>
    <n v="37.619999999999997"/>
    <n v="167.6"/>
    <n v="100"/>
    <n v="14.25"/>
    <n v="262.7"/>
    <n v="87"/>
    <n v="11.82"/>
    <n v="4.4000000000000004"/>
    <n v="4"/>
    <n v="1.19"/>
    <x v="3"/>
    <x v="0"/>
  </r>
  <r>
    <x v="20"/>
    <n v="127"/>
    <x v="0"/>
    <x v="0"/>
    <s v="No"/>
    <n v="0"/>
    <n v="139.6"/>
    <n v="94"/>
    <n v="23.73"/>
    <n v="240.9"/>
    <n v="112"/>
    <n v="20.48"/>
    <n v="127.1"/>
    <n v="88"/>
    <n v="5.72"/>
    <n v="8.8000000000000007"/>
    <n v="4"/>
    <n v="2.38"/>
    <x v="2"/>
    <x v="0"/>
  </r>
  <r>
    <x v="30"/>
    <n v="138"/>
    <x v="2"/>
    <x v="0"/>
    <s v="Yes"/>
    <n v="26"/>
    <n v="183.9"/>
    <n v="83"/>
    <n v="31.26"/>
    <n v="240.7"/>
    <n v="93"/>
    <n v="20.46"/>
    <n v="185.7"/>
    <n v="125"/>
    <n v="8.36"/>
    <n v="15"/>
    <n v="3"/>
    <n v="4.05"/>
    <x v="0"/>
    <x v="0"/>
  </r>
  <r>
    <x v="26"/>
    <n v="120"/>
    <x v="1"/>
    <x v="0"/>
    <s v="No"/>
    <n v="0"/>
    <n v="203.3"/>
    <n v="108"/>
    <n v="34.56"/>
    <n v="259.89999999999998"/>
    <n v="66"/>
    <n v="22.09"/>
    <n v="115.9"/>
    <n v="103"/>
    <n v="5.22"/>
    <n v="7.8"/>
    <n v="2"/>
    <n v="2.11"/>
    <x v="4"/>
    <x v="0"/>
  </r>
  <r>
    <x v="39"/>
    <n v="141"/>
    <x v="1"/>
    <x v="0"/>
    <s v="Yes"/>
    <n v="37"/>
    <n v="185.4"/>
    <n v="87"/>
    <n v="31.52"/>
    <n v="178.5"/>
    <n v="128"/>
    <n v="15.17"/>
    <n v="218.3"/>
    <n v="107"/>
    <n v="9.82"/>
    <n v="8"/>
    <n v="3"/>
    <n v="2.16"/>
    <x v="1"/>
    <x v="0"/>
  </r>
  <r>
    <x v="25"/>
    <n v="87"/>
    <x v="2"/>
    <x v="0"/>
    <s v="Yes"/>
    <n v="22"/>
    <n v="240.8"/>
    <n v="102"/>
    <n v="40.94"/>
    <n v="75.900000000000006"/>
    <n v="106"/>
    <n v="6.45"/>
    <n v="224.6"/>
    <n v="115"/>
    <n v="10.11"/>
    <n v="7.1"/>
    <n v="3"/>
    <n v="1.92"/>
    <x v="2"/>
    <x v="0"/>
  </r>
  <r>
    <x v="18"/>
    <n v="97"/>
    <x v="0"/>
    <x v="0"/>
    <s v="No"/>
    <n v="0"/>
    <n v="276.10000000000002"/>
    <n v="82"/>
    <n v="46.94"/>
    <n v="201.1"/>
    <n v="106"/>
    <n v="17.09"/>
    <n v="231.3"/>
    <n v="73"/>
    <n v="10.41"/>
    <n v="8.9"/>
    <n v="4"/>
    <n v="2.4"/>
    <x v="3"/>
    <x v="1"/>
  </r>
  <r>
    <x v="31"/>
    <n v="162"/>
    <x v="0"/>
    <x v="0"/>
    <s v="Yes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x v="0"/>
    <x v="1"/>
  </r>
  <r>
    <x v="26"/>
    <n v="119"/>
    <x v="2"/>
    <x v="0"/>
    <s v="No"/>
    <n v="0"/>
    <n v="81.900000000000006"/>
    <n v="75"/>
    <n v="13.92"/>
    <n v="253.8"/>
    <n v="114"/>
    <n v="21.57"/>
    <n v="213.1"/>
    <n v="125"/>
    <n v="9.59"/>
    <n v="8.9"/>
    <n v="1"/>
    <n v="2.4"/>
    <x v="2"/>
    <x v="1"/>
  </r>
  <r>
    <x v="9"/>
    <n v="107"/>
    <x v="2"/>
    <x v="0"/>
    <s v="Yes"/>
    <n v="25"/>
    <n v="248.6"/>
    <n v="91"/>
    <n v="42.26"/>
    <n v="119.3"/>
    <n v="115"/>
    <n v="10.14"/>
    <n v="194.3"/>
    <n v="83"/>
    <n v="8.74"/>
    <n v="12"/>
    <n v="1"/>
    <n v="3.24"/>
    <x v="0"/>
    <x v="0"/>
  </r>
  <r>
    <x v="3"/>
    <n v="140"/>
    <x v="2"/>
    <x v="0"/>
    <s v="Yes"/>
    <n v="28"/>
    <n v="157.1"/>
    <n v="77"/>
    <n v="26.71"/>
    <n v="172.4"/>
    <n v="97"/>
    <n v="14.65"/>
    <n v="184.5"/>
    <n v="94"/>
    <n v="8.3000000000000007"/>
    <n v="11.1"/>
    <n v="9"/>
    <n v="3"/>
    <x v="0"/>
    <x v="0"/>
  </r>
  <r>
    <x v="32"/>
    <n v="91"/>
    <x v="1"/>
    <x v="0"/>
    <s v="No"/>
    <n v="0"/>
    <n v="153"/>
    <n v="123"/>
    <n v="26.01"/>
    <n v="141.1"/>
    <n v="127"/>
    <n v="11.99"/>
    <n v="171.5"/>
    <n v="76"/>
    <n v="7.72"/>
    <n v="10.3"/>
    <n v="15"/>
    <n v="2.78"/>
    <x v="0"/>
    <x v="1"/>
  </r>
  <r>
    <x v="20"/>
    <n v="135"/>
    <x v="1"/>
    <x v="0"/>
    <s v="No"/>
    <n v="0"/>
    <n v="218.8"/>
    <n v="123"/>
    <n v="37.200000000000003"/>
    <n v="242.8"/>
    <n v="64"/>
    <n v="20.64"/>
    <n v="85.8"/>
    <n v="80"/>
    <n v="3.86"/>
    <n v="10.3"/>
    <n v="3"/>
    <n v="2.78"/>
    <x v="1"/>
    <x v="0"/>
  </r>
  <r>
    <x v="4"/>
    <n v="86"/>
    <x v="0"/>
    <x v="0"/>
    <s v="Yes"/>
    <n v="21"/>
    <n v="197.9"/>
    <n v="99"/>
    <n v="33.64"/>
    <n v="165.6"/>
    <n v="100"/>
    <n v="14.08"/>
    <n v="208"/>
    <n v="120"/>
    <n v="9.36"/>
    <n v="10.1"/>
    <n v="9"/>
    <n v="2.73"/>
    <x v="3"/>
    <x v="0"/>
  </r>
  <r>
    <x v="14"/>
    <n v="131"/>
    <x v="1"/>
    <x v="0"/>
    <s v="No"/>
    <n v="0"/>
    <n v="166.5"/>
    <n v="129"/>
    <n v="28.31"/>
    <n v="210.2"/>
    <n v="107"/>
    <n v="17.87"/>
    <n v="257.2"/>
    <n v="93"/>
    <n v="11.57"/>
    <n v="9.9"/>
    <n v="5"/>
    <n v="2.67"/>
    <x v="0"/>
    <x v="0"/>
  </r>
  <r>
    <x v="20"/>
    <n v="86"/>
    <x v="1"/>
    <x v="0"/>
    <s v="Yes"/>
    <n v="29"/>
    <n v="225.4"/>
    <n v="79"/>
    <n v="38.32"/>
    <n v="187.1"/>
    <n v="112"/>
    <n v="15.9"/>
    <n v="281.10000000000002"/>
    <n v="112"/>
    <n v="12.65"/>
    <n v="12.9"/>
    <n v="3"/>
    <n v="3.48"/>
    <x v="0"/>
    <x v="0"/>
  </r>
  <r>
    <x v="22"/>
    <n v="85"/>
    <x v="1"/>
    <x v="0"/>
    <s v="No"/>
    <n v="0"/>
    <n v="210.3"/>
    <n v="66"/>
    <n v="35.75"/>
    <n v="195.8"/>
    <n v="76"/>
    <n v="16.64"/>
    <n v="221.6"/>
    <n v="82"/>
    <n v="9.9700000000000006"/>
    <n v="11.2"/>
    <n v="7"/>
    <n v="3.02"/>
    <x v="0"/>
    <x v="0"/>
  </r>
  <r>
    <x v="11"/>
    <n v="195"/>
    <x v="1"/>
    <x v="0"/>
    <s v="Yes"/>
    <n v="36"/>
    <n v="231.7"/>
    <n v="110"/>
    <n v="39.39"/>
    <n v="225.1"/>
    <n v="88"/>
    <n v="19.13"/>
    <n v="201.7"/>
    <n v="89"/>
    <n v="9.08"/>
    <n v="12.1"/>
    <n v="2"/>
    <n v="3.27"/>
    <x v="3"/>
    <x v="0"/>
  </r>
  <r>
    <x v="46"/>
    <n v="177"/>
    <x v="0"/>
    <x v="0"/>
    <s v="No"/>
    <n v="0"/>
    <n v="189.5"/>
    <n v="99"/>
    <n v="32.22"/>
    <n v="176.3"/>
    <n v="117"/>
    <n v="14.99"/>
    <n v="225.9"/>
    <n v="112"/>
    <n v="10.17"/>
    <n v="14.2"/>
    <n v="2"/>
    <n v="3.83"/>
    <x v="0"/>
    <x v="0"/>
  </r>
  <r>
    <x v="18"/>
    <n v="100"/>
    <x v="0"/>
    <x v="0"/>
    <s v="No"/>
    <n v="0"/>
    <n v="70.8"/>
    <n v="94"/>
    <n v="12.04"/>
    <n v="215.6"/>
    <n v="102"/>
    <n v="18.329999999999998"/>
    <n v="230.8"/>
    <n v="125"/>
    <n v="10.39"/>
    <n v="9.5"/>
    <n v="1"/>
    <n v="2.57"/>
    <x v="6"/>
    <x v="1"/>
  </r>
  <r>
    <x v="34"/>
    <n v="124"/>
    <x v="1"/>
    <x v="0"/>
    <s v="No"/>
    <n v="0"/>
    <n v="131.80000000000001"/>
    <n v="82"/>
    <n v="22.41"/>
    <n v="284.3"/>
    <n v="119"/>
    <n v="24.17"/>
    <n v="305.5"/>
    <n v="101"/>
    <n v="13.75"/>
    <n v="11.3"/>
    <n v="2"/>
    <n v="3.05"/>
    <x v="0"/>
    <x v="0"/>
  </r>
  <r>
    <x v="36"/>
    <n v="81"/>
    <x v="2"/>
    <x v="1"/>
    <s v="No"/>
    <n v="0"/>
    <n v="250.6"/>
    <n v="85"/>
    <n v="42.6"/>
    <n v="187.9"/>
    <n v="50"/>
    <n v="15.97"/>
    <n v="120.3"/>
    <n v="131"/>
    <n v="5.41"/>
    <n v="7.8"/>
    <n v="5"/>
    <n v="2.11"/>
    <x v="0"/>
    <x v="0"/>
  </r>
  <r>
    <x v="4"/>
    <n v="105"/>
    <x v="1"/>
    <x v="0"/>
    <s v="No"/>
    <n v="0"/>
    <n v="281.3"/>
    <n v="124"/>
    <n v="47.82"/>
    <n v="301.5"/>
    <n v="96"/>
    <n v="25.63"/>
    <n v="202.8"/>
    <n v="109"/>
    <n v="9.1300000000000008"/>
    <n v="8.6999999999999993"/>
    <n v="3"/>
    <n v="2.35"/>
    <x v="3"/>
    <x v="1"/>
  </r>
  <r>
    <x v="6"/>
    <n v="126"/>
    <x v="1"/>
    <x v="1"/>
    <s v="Yes"/>
    <n v="26"/>
    <n v="129.30000000000001"/>
    <n v="123"/>
    <n v="21.98"/>
    <n v="176.5"/>
    <n v="114"/>
    <n v="15"/>
    <n v="154.5"/>
    <n v="102"/>
    <n v="6.95"/>
    <n v="9.6"/>
    <n v="7"/>
    <n v="2.59"/>
    <x v="0"/>
    <x v="0"/>
  </r>
  <r>
    <x v="46"/>
    <n v="71"/>
    <x v="2"/>
    <x v="0"/>
    <s v="No"/>
    <n v="0"/>
    <n v="238"/>
    <n v="82"/>
    <n v="40.46"/>
    <n v="278.5"/>
    <n v="94"/>
    <n v="23.67"/>
    <n v="193.1"/>
    <n v="134"/>
    <n v="8.69"/>
    <n v="11.8"/>
    <n v="10"/>
    <n v="3.19"/>
    <x v="3"/>
    <x v="1"/>
  </r>
  <r>
    <x v="19"/>
    <n v="139"/>
    <x v="1"/>
    <x v="0"/>
    <s v="No"/>
    <n v="0"/>
    <n v="211.1"/>
    <n v="103"/>
    <n v="35.89"/>
    <n v="206.9"/>
    <n v="108"/>
    <n v="17.59"/>
    <n v="193.9"/>
    <n v="70"/>
    <n v="8.73"/>
    <n v="5.6"/>
    <n v="4"/>
    <n v="1.51"/>
    <x v="3"/>
    <x v="0"/>
  </r>
  <r>
    <x v="19"/>
    <n v="77"/>
    <x v="1"/>
    <x v="0"/>
    <s v="No"/>
    <n v="0"/>
    <n v="169.4"/>
    <n v="102"/>
    <n v="28.8"/>
    <n v="184.9"/>
    <n v="144"/>
    <n v="15.72"/>
    <n v="234.3"/>
    <n v="89"/>
    <n v="10.54"/>
    <n v="2"/>
    <n v="7"/>
    <n v="0.54"/>
    <x v="0"/>
    <x v="0"/>
  </r>
  <r>
    <x v="14"/>
    <n v="72"/>
    <x v="0"/>
    <x v="0"/>
    <s v="No"/>
    <n v="0"/>
    <n v="177.1"/>
    <n v="97"/>
    <n v="30.11"/>
    <n v="184.7"/>
    <n v="105"/>
    <n v="15.7"/>
    <n v="174.1"/>
    <n v="94"/>
    <n v="7.83"/>
    <n v="8"/>
    <n v="6"/>
    <n v="2.16"/>
    <x v="0"/>
    <x v="0"/>
  </r>
  <r>
    <x v="30"/>
    <n v="74"/>
    <x v="1"/>
    <x v="0"/>
    <s v="Yes"/>
    <n v="32"/>
    <n v="174.6"/>
    <n v="107"/>
    <n v="29.68"/>
    <n v="310.60000000000002"/>
    <n v="115"/>
    <n v="26.4"/>
    <n v="234.7"/>
    <n v="92"/>
    <n v="10.56"/>
    <n v="9"/>
    <n v="4"/>
    <n v="2.4300000000000002"/>
    <x v="0"/>
    <x v="0"/>
  </r>
  <r>
    <x v="46"/>
    <n v="124"/>
    <x v="1"/>
    <x v="0"/>
    <s v="No"/>
    <n v="0"/>
    <n v="150.30000000000001"/>
    <n v="101"/>
    <n v="25.55"/>
    <n v="255.9"/>
    <n v="112"/>
    <n v="21.75"/>
    <n v="136.69999999999999"/>
    <n v="62"/>
    <n v="6.15"/>
    <n v="12.5"/>
    <n v="4"/>
    <n v="3.38"/>
    <x v="2"/>
    <x v="0"/>
  </r>
  <r>
    <x v="14"/>
    <n v="113"/>
    <x v="0"/>
    <x v="0"/>
    <s v="Yes"/>
    <n v="20"/>
    <n v="157.80000000000001"/>
    <n v="83"/>
    <n v="26.83"/>
    <n v="161.5"/>
    <n v="56"/>
    <n v="13.73"/>
    <n v="271.5"/>
    <n v="100"/>
    <n v="12.22"/>
    <n v="8.6999999999999993"/>
    <n v="2"/>
    <n v="2.35"/>
    <x v="5"/>
    <x v="1"/>
  </r>
  <r>
    <x v="40"/>
    <n v="66"/>
    <x v="2"/>
    <x v="0"/>
    <s v="No"/>
    <n v="0"/>
    <n v="118"/>
    <n v="133"/>
    <n v="20.059999999999999"/>
    <n v="248.1"/>
    <n v="99"/>
    <n v="21.09"/>
    <n v="214.4"/>
    <n v="122"/>
    <n v="9.65"/>
    <n v="5.3"/>
    <n v="5"/>
    <n v="1.43"/>
    <x v="0"/>
    <x v="0"/>
  </r>
  <r>
    <x v="12"/>
    <n v="124"/>
    <x v="1"/>
    <x v="0"/>
    <s v="Yes"/>
    <n v="30"/>
    <n v="144.5"/>
    <n v="35"/>
    <n v="24.57"/>
    <n v="262.3"/>
    <n v="101"/>
    <n v="22.3"/>
    <n v="226.5"/>
    <n v="82"/>
    <n v="10.19"/>
    <n v="12"/>
    <n v="7"/>
    <n v="3.24"/>
    <x v="2"/>
    <x v="0"/>
  </r>
  <r>
    <x v="41"/>
    <n v="134"/>
    <x v="0"/>
    <x v="0"/>
    <s v="No"/>
    <n v="0"/>
    <n v="183.8"/>
    <n v="111"/>
    <n v="31.25"/>
    <n v="123.5"/>
    <n v="92"/>
    <n v="10.5"/>
    <n v="160.69999999999999"/>
    <n v="105"/>
    <n v="7.23"/>
    <n v="6.1"/>
    <n v="2"/>
    <n v="1.65"/>
    <x v="0"/>
    <x v="0"/>
  </r>
  <r>
    <x v="40"/>
    <n v="41"/>
    <x v="1"/>
    <x v="0"/>
    <s v="Yes"/>
    <n v="30"/>
    <n v="191.7"/>
    <n v="109"/>
    <n v="32.590000000000003"/>
    <n v="193"/>
    <n v="86"/>
    <n v="16.41"/>
    <n v="149.4"/>
    <n v="93"/>
    <n v="6.72"/>
    <n v="11.1"/>
    <n v="4"/>
    <n v="3"/>
    <x v="0"/>
    <x v="0"/>
  </r>
  <r>
    <x v="3"/>
    <n v="159"/>
    <x v="1"/>
    <x v="0"/>
    <s v="Yes"/>
    <n v="23"/>
    <n v="153.6"/>
    <n v="93"/>
    <n v="26.11"/>
    <n v="216.9"/>
    <n v="88"/>
    <n v="18.440000000000001"/>
    <n v="161.30000000000001"/>
    <n v="91"/>
    <n v="7.26"/>
    <n v="12.6"/>
    <n v="3"/>
    <n v="3.4"/>
    <x v="2"/>
    <x v="0"/>
  </r>
  <r>
    <x v="41"/>
    <n v="87"/>
    <x v="0"/>
    <x v="1"/>
    <s v="Yes"/>
    <n v="36"/>
    <n v="171.2"/>
    <n v="138"/>
    <n v="29.1"/>
    <n v="185.8"/>
    <n v="102"/>
    <n v="15.79"/>
    <n v="227.6"/>
    <n v="97"/>
    <n v="10.24"/>
    <n v="10.8"/>
    <n v="3"/>
    <n v="2.92"/>
    <x v="0"/>
    <x v="0"/>
  </r>
  <r>
    <x v="18"/>
    <n v="132"/>
    <x v="1"/>
    <x v="0"/>
    <s v="No"/>
    <n v="0"/>
    <n v="240.1"/>
    <n v="115"/>
    <n v="40.82"/>
    <n v="180.4"/>
    <n v="91"/>
    <n v="15.33"/>
    <n v="133.4"/>
    <n v="122"/>
    <n v="6"/>
    <n v="8"/>
    <n v="6"/>
    <n v="2.16"/>
    <x v="4"/>
    <x v="0"/>
  </r>
  <r>
    <x v="19"/>
    <n v="86"/>
    <x v="0"/>
    <x v="0"/>
    <s v="No"/>
    <n v="0"/>
    <n v="83.8"/>
    <n v="121"/>
    <n v="14.25"/>
    <n v="240.2"/>
    <n v="96"/>
    <n v="20.420000000000002"/>
    <n v="158.6"/>
    <n v="108"/>
    <n v="7.14"/>
    <n v="6.7"/>
    <n v="8"/>
    <n v="1.81"/>
    <x v="0"/>
    <x v="0"/>
  </r>
  <r>
    <x v="41"/>
    <n v="55"/>
    <x v="1"/>
    <x v="1"/>
    <s v="No"/>
    <n v="0"/>
    <n v="269.60000000000002"/>
    <n v="121"/>
    <n v="45.83"/>
    <n v="171.7"/>
    <n v="91"/>
    <n v="14.59"/>
    <n v="219"/>
    <n v="98"/>
    <n v="9.86"/>
    <n v="8.1999999999999993"/>
    <n v="6"/>
    <n v="2.21"/>
    <x v="0"/>
    <x v="0"/>
  </r>
  <r>
    <x v="11"/>
    <n v="101"/>
    <x v="1"/>
    <x v="0"/>
    <s v="No"/>
    <n v="0"/>
    <n v="136.19999999999999"/>
    <n v="92"/>
    <n v="23.15"/>
    <n v="220.9"/>
    <n v="110"/>
    <n v="18.78"/>
    <n v="196.9"/>
    <n v="116"/>
    <n v="8.86"/>
    <n v="13.3"/>
    <n v="7"/>
    <n v="3.59"/>
    <x v="4"/>
    <x v="0"/>
  </r>
  <r>
    <x v="30"/>
    <n v="94"/>
    <x v="0"/>
    <x v="0"/>
    <s v="No"/>
    <n v="0"/>
    <n v="269.2"/>
    <n v="104"/>
    <n v="45.76"/>
    <n v="193.8"/>
    <n v="144"/>
    <n v="16.47"/>
    <n v="257.60000000000002"/>
    <n v="61"/>
    <n v="11.59"/>
    <n v="8.9"/>
    <n v="2"/>
    <n v="2.4"/>
    <x v="4"/>
    <x v="1"/>
  </r>
  <r>
    <x v="46"/>
    <n v="68"/>
    <x v="0"/>
    <x v="0"/>
    <s v="No"/>
    <n v="0"/>
    <n v="219.6"/>
    <n v="97"/>
    <n v="37.33"/>
    <n v="141.1"/>
    <n v="144"/>
    <n v="11.99"/>
    <n v="205.7"/>
    <n v="101"/>
    <n v="9.26"/>
    <n v="10.8"/>
    <n v="4"/>
    <n v="2.92"/>
    <x v="2"/>
    <x v="0"/>
  </r>
  <r>
    <x v="15"/>
    <n v="98"/>
    <x v="0"/>
    <x v="0"/>
    <s v="No"/>
    <n v="0"/>
    <n v="236.2"/>
    <n v="122"/>
    <n v="40.15"/>
    <n v="189.4"/>
    <n v="110"/>
    <n v="16.100000000000001"/>
    <n v="153.6"/>
    <n v="104"/>
    <n v="6.91"/>
    <n v="13.3"/>
    <n v="4"/>
    <n v="3.59"/>
    <x v="3"/>
    <x v="0"/>
  </r>
  <r>
    <x v="26"/>
    <n v="123"/>
    <x v="0"/>
    <x v="0"/>
    <s v="No"/>
    <n v="0"/>
    <n v="260.89999999999998"/>
    <n v="85"/>
    <n v="44.35"/>
    <n v="168.5"/>
    <n v="103"/>
    <n v="14.32"/>
    <n v="178.3"/>
    <n v="91"/>
    <n v="8.02"/>
    <n v="13.3"/>
    <n v="5"/>
    <n v="3.59"/>
    <x v="4"/>
    <x v="0"/>
  </r>
  <r>
    <x v="17"/>
    <n v="111"/>
    <x v="0"/>
    <x v="0"/>
    <s v="No"/>
    <n v="0"/>
    <n v="249.8"/>
    <n v="109"/>
    <n v="42.47"/>
    <n v="242.4"/>
    <n v="106"/>
    <n v="20.6"/>
    <n v="231.8"/>
    <n v="78"/>
    <n v="10.43"/>
    <n v="11.6"/>
    <n v="4"/>
    <n v="3.13"/>
    <x v="3"/>
    <x v="1"/>
  </r>
  <r>
    <x v="27"/>
    <n v="69"/>
    <x v="2"/>
    <x v="0"/>
    <s v="Yes"/>
    <n v="27"/>
    <n v="268.8"/>
    <n v="78"/>
    <n v="45.7"/>
    <n v="246.6"/>
    <n v="89"/>
    <n v="20.96"/>
    <n v="271.89999999999998"/>
    <n v="102"/>
    <n v="12.24"/>
    <n v="16.399999999999999"/>
    <n v="3"/>
    <n v="4.43"/>
    <x v="3"/>
    <x v="0"/>
  </r>
  <r>
    <x v="35"/>
    <n v="127"/>
    <x v="1"/>
    <x v="0"/>
    <s v="Yes"/>
    <n v="27"/>
    <n v="140.1"/>
    <n v="59"/>
    <n v="23.82"/>
    <n v="223.4"/>
    <n v="111"/>
    <n v="18.989999999999998"/>
    <n v="257.89999999999998"/>
    <n v="73"/>
    <n v="11.61"/>
    <n v="3.8"/>
    <n v="10"/>
    <n v="1.03"/>
    <x v="0"/>
    <x v="0"/>
  </r>
  <r>
    <x v="24"/>
    <n v="105"/>
    <x v="1"/>
    <x v="0"/>
    <s v="No"/>
    <n v="0"/>
    <n v="193.7"/>
    <n v="108"/>
    <n v="32.93"/>
    <n v="183.2"/>
    <n v="124"/>
    <n v="15.57"/>
    <n v="293.7"/>
    <n v="72"/>
    <n v="13.22"/>
    <n v="10.8"/>
    <n v="5"/>
    <n v="2.92"/>
    <x v="0"/>
    <x v="0"/>
  </r>
  <r>
    <x v="8"/>
    <n v="75"/>
    <x v="1"/>
    <x v="0"/>
    <s v="No"/>
    <n v="0"/>
    <n v="224.7"/>
    <n v="116"/>
    <n v="38.200000000000003"/>
    <n v="192"/>
    <n v="79"/>
    <n v="16.32"/>
    <n v="212.2"/>
    <n v="98"/>
    <n v="9.5500000000000007"/>
    <n v="11.3"/>
    <n v="11"/>
    <n v="3.05"/>
    <x v="4"/>
    <x v="0"/>
  </r>
  <r>
    <x v="26"/>
    <n v="126"/>
    <x v="1"/>
    <x v="0"/>
    <s v="No"/>
    <n v="0"/>
    <n v="190.9"/>
    <n v="143"/>
    <n v="32.450000000000003"/>
    <n v="149.69999999999999"/>
    <n v="72"/>
    <n v="12.72"/>
    <n v="191.4"/>
    <n v="87"/>
    <n v="8.61"/>
    <n v="13"/>
    <n v="3"/>
    <n v="3.51"/>
    <x v="0"/>
    <x v="0"/>
  </r>
  <r>
    <x v="24"/>
    <n v="41"/>
    <x v="1"/>
    <x v="0"/>
    <s v="No"/>
    <n v="0"/>
    <n v="232.1"/>
    <n v="74"/>
    <n v="39.46"/>
    <n v="327.10000000000002"/>
    <n v="88"/>
    <n v="27.8"/>
    <n v="226.5"/>
    <n v="119"/>
    <n v="10.19"/>
    <n v="10.9"/>
    <n v="2"/>
    <n v="2.94"/>
    <x v="4"/>
    <x v="1"/>
  </r>
  <r>
    <x v="35"/>
    <n v="113"/>
    <x v="1"/>
    <x v="0"/>
    <s v="No"/>
    <n v="0"/>
    <n v="90.6"/>
    <n v="130"/>
    <n v="15.4"/>
    <n v="170.6"/>
    <n v="100"/>
    <n v="14.5"/>
    <n v="137.4"/>
    <n v="74"/>
    <n v="6.18"/>
    <n v="5.4"/>
    <n v="9"/>
    <n v="1.46"/>
    <x v="0"/>
    <x v="0"/>
  </r>
  <r>
    <x v="2"/>
    <n v="78"/>
    <x v="2"/>
    <x v="0"/>
    <s v="No"/>
    <n v="0"/>
    <n v="152.9"/>
    <n v="81"/>
    <n v="25.99"/>
    <n v="256.60000000000002"/>
    <n v="82"/>
    <n v="21.81"/>
    <n v="173.6"/>
    <n v="112"/>
    <n v="7.81"/>
    <n v="5.3"/>
    <n v="6"/>
    <n v="1.43"/>
    <x v="2"/>
    <x v="0"/>
  </r>
  <r>
    <x v="18"/>
    <n v="110"/>
    <x v="1"/>
    <x v="0"/>
    <s v="No"/>
    <n v="0"/>
    <n v="241.2"/>
    <n v="105"/>
    <n v="41"/>
    <n v="174.3"/>
    <n v="85"/>
    <n v="14.82"/>
    <n v="245.3"/>
    <n v="59"/>
    <n v="11.04"/>
    <n v="8.5"/>
    <n v="4"/>
    <n v="2.2999999999999998"/>
    <x v="2"/>
    <x v="0"/>
  </r>
  <r>
    <x v="19"/>
    <n v="112"/>
    <x v="1"/>
    <x v="1"/>
    <s v="Yes"/>
    <n v="16"/>
    <n v="200.3"/>
    <n v="72"/>
    <n v="34.049999999999997"/>
    <n v="197.8"/>
    <n v="91"/>
    <n v="16.809999999999999"/>
    <n v="151.1"/>
    <n v="92"/>
    <n v="6.8"/>
    <n v="10.4"/>
    <n v="3"/>
    <n v="2.81"/>
    <x v="0"/>
    <x v="0"/>
  </r>
  <r>
    <x v="7"/>
    <n v="104"/>
    <x v="2"/>
    <x v="0"/>
    <s v="No"/>
    <n v="0"/>
    <n v="97.2"/>
    <n v="88"/>
    <n v="16.52"/>
    <n v="155.6"/>
    <n v="85"/>
    <n v="13.23"/>
    <n v="261.60000000000002"/>
    <n v="105"/>
    <n v="11.77"/>
    <n v="12.4"/>
    <n v="5"/>
    <n v="3.35"/>
    <x v="3"/>
    <x v="0"/>
  </r>
  <r>
    <x v="44"/>
    <n v="127"/>
    <x v="2"/>
    <x v="0"/>
    <s v="No"/>
    <n v="0"/>
    <n v="224.3"/>
    <n v="112"/>
    <n v="38.130000000000003"/>
    <n v="185.7"/>
    <n v="103"/>
    <n v="15.78"/>
    <n v="159.4"/>
    <n v="83"/>
    <n v="7.17"/>
    <n v="10"/>
    <n v="1"/>
    <n v="2.7"/>
    <x v="2"/>
    <x v="0"/>
  </r>
  <r>
    <x v="19"/>
    <n v="61"/>
    <x v="0"/>
    <x v="0"/>
    <s v="No"/>
    <n v="0"/>
    <n v="267.10000000000002"/>
    <n v="104"/>
    <n v="45.41"/>
    <n v="180.4"/>
    <n v="131"/>
    <n v="15.33"/>
    <n v="230.6"/>
    <n v="106"/>
    <n v="10.38"/>
    <n v="17.3"/>
    <n v="4"/>
    <n v="4.67"/>
    <x v="0"/>
    <x v="1"/>
  </r>
  <r>
    <x v="35"/>
    <n v="65"/>
    <x v="1"/>
    <x v="0"/>
    <s v="Yes"/>
    <n v="29"/>
    <n v="215.5"/>
    <n v="129"/>
    <n v="36.64"/>
    <n v="161.9"/>
    <n v="77"/>
    <n v="13.76"/>
    <n v="128.30000000000001"/>
    <n v="91"/>
    <n v="5.77"/>
    <n v="8.8000000000000007"/>
    <n v="5"/>
    <n v="2.38"/>
    <x v="2"/>
    <x v="0"/>
  </r>
  <r>
    <x v="34"/>
    <n v="152"/>
    <x v="0"/>
    <x v="0"/>
    <s v="Yes"/>
    <n v="20"/>
    <n v="239.1"/>
    <n v="105"/>
    <n v="40.65"/>
    <n v="209.1"/>
    <n v="111"/>
    <n v="17.77"/>
    <n v="268.2"/>
    <n v="130"/>
    <n v="12.07"/>
    <n v="13.3"/>
    <n v="3"/>
    <n v="3.59"/>
    <x v="5"/>
    <x v="0"/>
  </r>
  <r>
    <x v="35"/>
    <n v="63"/>
    <x v="1"/>
    <x v="1"/>
    <s v="No"/>
    <n v="0"/>
    <n v="62.9"/>
    <n v="112"/>
    <n v="10.69"/>
    <n v="202.9"/>
    <n v="111"/>
    <n v="17.25"/>
    <n v="259"/>
    <n v="58"/>
    <n v="11.66"/>
    <n v="8.9"/>
    <n v="8"/>
    <n v="2.4"/>
    <x v="0"/>
    <x v="0"/>
  </r>
  <r>
    <x v="49"/>
    <n v="100"/>
    <x v="0"/>
    <x v="0"/>
    <s v="No"/>
    <n v="0"/>
    <n v="210.9"/>
    <n v="85"/>
    <n v="35.85"/>
    <n v="329.3"/>
    <n v="69"/>
    <n v="27.99"/>
    <n v="127.1"/>
    <n v="78"/>
    <n v="5.72"/>
    <n v="9.4"/>
    <n v="5"/>
    <n v="2.54"/>
    <x v="1"/>
    <x v="0"/>
  </r>
  <r>
    <x v="27"/>
    <n v="29"/>
    <x v="2"/>
    <x v="0"/>
    <s v="No"/>
    <n v="0"/>
    <n v="313.2"/>
    <n v="103"/>
    <n v="53.24"/>
    <n v="216.3"/>
    <n v="151"/>
    <n v="18.39"/>
    <n v="218.4"/>
    <n v="106"/>
    <n v="9.83"/>
    <n v="12.8"/>
    <n v="4"/>
    <n v="3.46"/>
    <x v="2"/>
    <x v="1"/>
  </r>
  <r>
    <x v="40"/>
    <n v="175"/>
    <x v="1"/>
    <x v="0"/>
    <s v="No"/>
    <n v="0"/>
    <n v="132"/>
    <n v="95"/>
    <n v="22.44"/>
    <n v="231.2"/>
    <n v="74"/>
    <n v="19.649999999999999"/>
    <n v="313.39999999999998"/>
    <n v="108"/>
    <n v="14.1"/>
    <n v="8.6999999999999993"/>
    <n v="10"/>
    <n v="2.35"/>
    <x v="0"/>
    <x v="0"/>
  </r>
  <r>
    <x v="27"/>
    <n v="98"/>
    <x v="1"/>
    <x v="1"/>
    <s v="Yes"/>
    <n v="23"/>
    <n v="245.5"/>
    <n v="54"/>
    <n v="41.74"/>
    <n v="292.7"/>
    <n v="83"/>
    <n v="24.88"/>
    <n v="184"/>
    <n v="90"/>
    <n v="8.2799999999999994"/>
    <n v="10.8"/>
    <n v="7"/>
    <n v="2.92"/>
    <x v="0"/>
    <x v="0"/>
  </r>
  <r>
    <x v="8"/>
    <n v="121"/>
    <x v="1"/>
    <x v="0"/>
    <s v="No"/>
    <n v="0"/>
    <n v="134.1"/>
    <n v="112"/>
    <n v="22.8"/>
    <n v="195.1"/>
    <n v="104"/>
    <n v="16.579999999999998"/>
    <n v="159.6"/>
    <n v="139"/>
    <n v="7.18"/>
    <n v="10.5"/>
    <n v="2"/>
    <n v="2.84"/>
    <x v="2"/>
    <x v="0"/>
  </r>
  <r>
    <x v="45"/>
    <n v="104"/>
    <x v="1"/>
    <x v="0"/>
    <s v="No"/>
    <n v="0"/>
    <n v="144.5"/>
    <n v="107"/>
    <n v="24.57"/>
    <n v="180.5"/>
    <n v="85"/>
    <n v="15.34"/>
    <n v="226"/>
    <n v="94"/>
    <n v="10.17"/>
    <n v="17"/>
    <n v="6"/>
    <n v="4.59"/>
    <x v="2"/>
    <x v="0"/>
  </r>
  <r>
    <x v="19"/>
    <n v="123"/>
    <x v="1"/>
    <x v="0"/>
    <s v="No"/>
    <n v="0"/>
    <n v="150"/>
    <n v="98"/>
    <n v="25.5"/>
    <n v="89.8"/>
    <n v="95"/>
    <n v="7.63"/>
    <n v="326"/>
    <n v="91"/>
    <n v="14.67"/>
    <n v="11.1"/>
    <n v="3"/>
    <n v="3"/>
    <x v="4"/>
    <x v="0"/>
  </r>
  <r>
    <x v="6"/>
    <n v="61"/>
    <x v="1"/>
    <x v="0"/>
    <s v="Yes"/>
    <n v="33"/>
    <n v="270.7"/>
    <n v="53"/>
    <n v="46.02"/>
    <n v="200.7"/>
    <n v="116"/>
    <n v="17.059999999999999"/>
    <n v="201.7"/>
    <n v="102"/>
    <n v="9.08"/>
    <n v="10.9"/>
    <n v="3"/>
    <n v="2.94"/>
    <x v="4"/>
    <x v="0"/>
  </r>
  <r>
    <x v="43"/>
    <n v="160"/>
    <x v="1"/>
    <x v="0"/>
    <s v="No"/>
    <n v="0"/>
    <n v="256"/>
    <n v="111"/>
    <n v="43.52"/>
    <n v="187.4"/>
    <n v="61"/>
    <n v="15.93"/>
    <n v="119.1"/>
    <n v="81"/>
    <n v="5.36"/>
    <n v="11.5"/>
    <n v="4"/>
    <n v="3.11"/>
    <x v="4"/>
    <x v="0"/>
  </r>
  <r>
    <x v="47"/>
    <n v="153"/>
    <x v="0"/>
    <x v="0"/>
    <s v="No"/>
    <n v="0"/>
    <n v="154.6"/>
    <n v="56"/>
    <n v="26.28"/>
    <n v="263"/>
    <n v="84"/>
    <n v="22.36"/>
    <n v="367.7"/>
    <n v="89"/>
    <n v="16.55"/>
    <n v="15.5"/>
    <n v="2"/>
    <n v="4.1900000000000004"/>
    <x v="0"/>
    <x v="0"/>
  </r>
  <r>
    <x v="29"/>
    <n v="31"/>
    <x v="2"/>
    <x v="0"/>
    <s v="No"/>
    <n v="0"/>
    <n v="165.4"/>
    <n v="84"/>
    <n v="28.12"/>
    <n v="203.7"/>
    <n v="107"/>
    <n v="17.309999999999999"/>
    <n v="201.7"/>
    <n v="65"/>
    <n v="9.08"/>
    <n v="8.1999999999999993"/>
    <n v="1"/>
    <n v="2.21"/>
    <x v="0"/>
    <x v="0"/>
  </r>
  <r>
    <x v="14"/>
    <n v="122"/>
    <x v="1"/>
    <x v="0"/>
    <s v="No"/>
    <n v="0"/>
    <n v="168.3"/>
    <n v="96"/>
    <n v="28.61"/>
    <n v="87.6"/>
    <n v="91"/>
    <n v="7.45"/>
    <n v="247.2"/>
    <n v="87"/>
    <n v="11.12"/>
    <n v="8.4"/>
    <n v="6"/>
    <n v="2.27"/>
    <x v="0"/>
    <x v="0"/>
  </r>
  <r>
    <x v="1"/>
    <n v="46"/>
    <x v="1"/>
    <x v="0"/>
    <s v="Yes"/>
    <n v="34"/>
    <n v="191.4"/>
    <n v="102"/>
    <n v="32.54"/>
    <n v="361.8"/>
    <n v="96"/>
    <n v="30.75"/>
    <n v="147.5"/>
    <n v="132"/>
    <n v="6.64"/>
    <n v="7.2"/>
    <n v="2"/>
    <n v="1.94"/>
    <x v="0"/>
    <x v="0"/>
  </r>
  <r>
    <x v="29"/>
    <n v="103"/>
    <x v="1"/>
    <x v="0"/>
    <s v="No"/>
    <n v="0"/>
    <n v="158.69999999999999"/>
    <n v="90"/>
    <n v="26.98"/>
    <n v="198.4"/>
    <n v="117"/>
    <n v="16.86"/>
    <n v="181.1"/>
    <n v="76"/>
    <n v="8.15"/>
    <n v="10.5"/>
    <n v="4"/>
    <n v="2.84"/>
    <x v="0"/>
    <x v="0"/>
  </r>
  <r>
    <x v="41"/>
    <n v="68"/>
    <x v="1"/>
    <x v="1"/>
    <s v="Yes"/>
    <n v="29"/>
    <n v="195.5"/>
    <n v="113"/>
    <n v="33.24"/>
    <n v="171.6"/>
    <n v="96"/>
    <n v="14.59"/>
    <n v="204"/>
    <n v="85"/>
    <n v="9.18"/>
    <n v="13.5"/>
    <n v="9"/>
    <n v="3.65"/>
    <x v="0"/>
    <x v="1"/>
  </r>
  <r>
    <x v="22"/>
    <n v="149"/>
    <x v="1"/>
    <x v="0"/>
    <s v="Yes"/>
    <n v="20"/>
    <n v="264.39999999999998"/>
    <n v="102"/>
    <n v="44.95"/>
    <n v="219.6"/>
    <n v="123"/>
    <n v="18.670000000000002"/>
    <n v="200.4"/>
    <n v="89"/>
    <n v="9.02"/>
    <n v="11.3"/>
    <n v="3"/>
    <n v="3.05"/>
    <x v="2"/>
    <x v="0"/>
  </r>
  <r>
    <x v="12"/>
    <n v="102"/>
    <x v="0"/>
    <x v="0"/>
    <s v="No"/>
    <n v="0"/>
    <n v="273.2"/>
    <n v="85"/>
    <n v="46.44"/>
    <n v="211.1"/>
    <n v="82"/>
    <n v="17.940000000000001"/>
    <n v="203.7"/>
    <n v="129"/>
    <n v="9.17"/>
    <n v="13.1"/>
    <n v="7"/>
    <n v="3.54"/>
    <x v="2"/>
    <x v="1"/>
  </r>
  <r>
    <x v="9"/>
    <n v="153"/>
    <x v="2"/>
    <x v="0"/>
    <s v="No"/>
    <n v="0"/>
    <n v="159.5"/>
    <n v="103"/>
    <n v="27.12"/>
    <n v="275.5"/>
    <n v="90"/>
    <n v="23.42"/>
    <n v="176.7"/>
    <n v="126"/>
    <n v="7.95"/>
    <n v="10.1"/>
    <n v="2"/>
    <n v="2.73"/>
    <x v="0"/>
    <x v="1"/>
  </r>
  <r>
    <x v="2"/>
    <n v="122"/>
    <x v="2"/>
    <x v="0"/>
    <s v="No"/>
    <n v="0"/>
    <n v="145.6"/>
    <n v="102"/>
    <n v="24.75"/>
    <n v="284.7"/>
    <n v="111"/>
    <n v="24.2"/>
    <n v="228.2"/>
    <n v="91"/>
    <n v="10.27"/>
    <n v="12.2"/>
    <n v="5"/>
    <n v="3.29"/>
    <x v="3"/>
    <x v="0"/>
  </r>
  <r>
    <x v="28"/>
    <n v="127"/>
    <x v="2"/>
    <x v="1"/>
    <s v="No"/>
    <n v="0"/>
    <n v="247.5"/>
    <n v="99"/>
    <n v="42.08"/>
    <n v="108.5"/>
    <n v="118"/>
    <n v="9.2200000000000006"/>
    <n v="232"/>
    <n v="72"/>
    <n v="10.44"/>
    <n v="10.6"/>
    <n v="3"/>
    <n v="2.86"/>
    <x v="2"/>
    <x v="0"/>
  </r>
  <r>
    <x v="2"/>
    <n v="126"/>
    <x v="1"/>
    <x v="1"/>
    <s v="No"/>
    <n v="0"/>
    <n v="239.7"/>
    <n v="87"/>
    <n v="40.75"/>
    <n v="281.7"/>
    <n v="92"/>
    <n v="23.94"/>
    <n v="183.5"/>
    <n v="113"/>
    <n v="8.26"/>
    <n v="11.4"/>
    <n v="1"/>
    <n v="3.08"/>
    <x v="0"/>
    <x v="1"/>
  </r>
  <r>
    <x v="15"/>
    <n v="90"/>
    <x v="0"/>
    <x v="0"/>
    <s v="No"/>
    <n v="0"/>
    <n v="109.9"/>
    <n v="102"/>
    <n v="18.68"/>
    <n v="220.8"/>
    <n v="114"/>
    <n v="18.77"/>
    <n v="104"/>
    <n v="133"/>
    <n v="4.68"/>
    <n v="10.9"/>
    <n v="6"/>
    <n v="2.94"/>
    <x v="3"/>
    <x v="0"/>
  </r>
  <r>
    <x v="17"/>
    <n v="37"/>
    <x v="2"/>
    <x v="0"/>
    <s v="No"/>
    <n v="0"/>
    <n v="239.9"/>
    <n v="120"/>
    <n v="40.78"/>
    <n v="261.60000000000002"/>
    <n v="88"/>
    <n v="22.24"/>
    <n v="207.1"/>
    <n v="88"/>
    <n v="9.32"/>
    <n v="8.9"/>
    <n v="4"/>
    <n v="2.4"/>
    <x v="2"/>
    <x v="1"/>
  </r>
  <r>
    <x v="15"/>
    <n v="132"/>
    <x v="1"/>
    <x v="0"/>
    <s v="No"/>
    <n v="0"/>
    <n v="197.8"/>
    <n v="66"/>
    <n v="33.630000000000003"/>
    <n v="133.9"/>
    <n v="119"/>
    <n v="11.38"/>
    <n v="177.3"/>
    <n v="94"/>
    <n v="7.98"/>
    <n v="10.9"/>
    <n v="3"/>
    <n v="2.94"/>
    <x v="1"/>
    <x v="1"/>
  </r>
  <r>
    <x v="14"/>
    <n v="38"/>
    <x v="0"/>
    <x v="0"/>
    <s v="Yes"/>
    <n v="36"/>
    <n v="115.4"/>
    <n v="98"/>
    <n v="19.62"/>
    <n v="166.2"/>
    <n v="83"/>
    <n v="14.13"/>
    <n v="184.7"/>
    <n v="79"/>
    <n v="8.31"/>
    <n v="15.2"/>
    <n v="6"/>
    <n v="4.0999999999999996"/>
    <x v="2"/>
    <x v="0"/>
  </r>
  <r>
    <x v="7"/>
    <n v="92"/>
    <x v="1"/>
    <x v="0"/>
    <s v="No"/>
    <n v="0"/>
    <n v="197.2"/>
    <n v="113"/>
    <n v="33.520000000000003"/>
    <n v="242.3"/>
    <n v="116"/>
    <n v="20.6"/>
    <n v="192"/>
    <n v="76"/>
    <n v="8.64"/>
    <n v="11"/>
    <n v="5"/>
    <n v="2.97"/>
    <x v="2"/>
    <x v="0"/>
  </r>
  <r>
    <x v="4"/>
    <n v="111"/>
    <x v="0"/>
    <x v="0"/>
    <s v="Yes"/>
    <n v="13"/>
    <n v="193.1"/>
    <n v="104"/>
    <n v="32.83"/>
    <n v="111.6"/>
    <n v="98"/>
    <n v="9.49"/>
    <n v="227.4"/>
    <n v="94"/>
    <n v="10.23"/>
    <n v="12.1"/>
    <n v="4"/>
    <n v="3.27"/>
    <x v="0"/>
    <x v="0"/>
  </r>
  <r>
    <x v="26"/>
    <n v="121"/>
    <x v="1"/>
    <x v="0"/>
    <s v="Yes"/>
    <n v="31"/>
    <n v="263.10000000000002"/>
    <n v="70"/>
    <n v="44.73"/>
    <n v="279.3"/>
    <n v="118"/>
    <n v="23.74"/>
    <n v="127.1"/>
    <n v="143"/>
    <n v="5.72"/>
    <n v="9.6999999999999993"/>
    <n v="4"/>
    <n v="2.62"/>
    <x v="5"/>
    <x v="0"/>
  </r>
  <r>
    <x v="50"/>
    <n v="131"/>
    <x v="0"/>
    <x v="0"/>
    <s v="No"/>
    <n v="0"/>
    <n v="197"/>
    <n v="79"/>
    <n v="33.49"/>
    <n v="201"/>
    <n v="114"/>
    <n v="17.09"/>
    <n v="151.19999999999999"/>
    <n v="111"/>
    <n v="6.8"/>
    <n v="11.6"/>
    <n v="5"/>
    <n v="3.13"/>
    <x v="0"/>
    <x v="0"/>
  </r>
  <r>
    <x v="40"/>
    <n v="19"/>
    <x v="1"/>
    <x v="0"/>
    <s v="No"/>
    <n v="0"/>
    <n v="201.5"/>
    <n v="123"/>
    <n v="34.26"/>
    <n v="129.19999999999999"/>
    <n v="110"/>
    <n v="10.98"/>
    <n v="220.6"/>
    <n v="98"/>
    <n v="9.93"/>
    <n v="12.9"/>
    <n v="4"/>
    <n v="3.48"/>
    <x v="0"/>
    <x v="0"/>
  </r>
  <r>
    <x v="20"/>
    <n v="135"/>
    <x v="1"/>
    <x v="0"/>
    <s v="No"/>
    <n v="0"/>
    <n v="173.4"/>
    <n v="107"/>
    <n v="29.48"/>
    <n v="222"/>
    <n v="84"/>
    <n v="18.87"/>
    <n v="64.2"/>
    <n v="94"/>
    <n v="2.89"/>
    <n v="13.7"/>
    <n v="6"/>
    <n v="3.7"/>
    <x v="0"/>
    <x v="0"/>
  </r>
  <r>
    <x v="48"/>
    <n v="129"/>
    <x v="0"/>
    <x v="0"/>
    <s v="No"/>
    <n v="0"/>
    <n v="101.4"/>
    <n v="145"/>
    <n v="17.239999999999998"/>
    <n v="249.1"/>
    <n v="116"/>
    <n v="21.17"/>
    <n v="157.6"/>
    <n v="107"/>
    <n v="7.09"/>
    <n v="7.1"/>
    <n v="6"/>
    <n v="1.92"/>
    <x v="0"/>
    <x v="0"/>
  </r>
  <r>
    <x v="11"/>
    <n v="142"/>
    <x v="1"/>
    <x v="0"/>
    <s v="No"/>
    <n v="0"/>
    <n v="232.5"/>
    <n v="74"/>
    <n v="39.53"/>
    <n v="181.8"/>
    <n v="142"/>
    <n v="15.45"/>
    <n v="203.1"/>
    <n v="86"/>
    <n v="9.14"/>
    <n v="10.4"/>
    <n v="6"/>
    <n v="2.81"/>
    <x v="1"/>
    <x v="0"/>
  </r>
  <r>
    <x v="43"/>
    <n v="130"/>
    <x v="1"/>
    <x v="0"/>
    <s v="Yes"/>
    <n v="45"/>
    <n v="174.5"/>
    <n v="120"/>
    <n v="29.67"/>
    <n v="217.5"/>
    <n v="95"/>
    <n v="18.489999999999998"/>
    <n v="220.3"/>
    <n v="67"/>
    <n v="9.91"/>
    <n v="12.2"/>
    <n v="2"/>
    <n v="3.29"/>
    <x v="0"/>
    <x v="0"/>
  </r>
  <r>
    <x v="19"/>
    <n v="92"/>
    <x v="1"/>
    <x v="0"/>
    <s v="No"/>
    <n v="0"/>
    <n v="181.4"/>
    <n v="98"/>
    <n v="30.84"/>
    <n v="164.5"/>
    <n v="98"/>
    <n v="13.98"/>
    <n v="171"/>
    <n v="110"/>
    <n v="7.69"/>
    <n v="10.9"/>
    <n v="4"/>
    <n v="2.94"/>
    <x v="2"/>
    <x v="0"/>
  </r>
  <r>
    <x v="28"/>
    <n v="146"/>
    <x v="1"/>
    <x v="0"/>
    <s v="Yes"/>
    <n v="11"/>
    <n v="180.7"/>
    <n v="82"/>
    <n v="30.72"/>
    <n v="173.7"/>
    <n v="90"/>
    <n v="14.76"/>
    <n v="231.5"/>
    <n v="89"/>
    <n v="10.42"/>
    <n v="10.1"/>
    <n v="4"/>
    <n v="2.73"/>
    <x v="2"/>
    <x v="0"/>
  </r>
  <r>
    <x v="44"/>
    <n v="152"/>
    <x v="2"/>
    <x v="1"/>
    <s v="Yes"/>
    <n v="41"/>
    <n v="146.80000000000001"/>
    <n v="128"/>
    <n v="24.96"/>
    <n v="285.60000000000002"/>
    <n v="96"/>
    <n v="24.28"/>
    <n v="213.6"/>
    <n v="80"/>
    <n v="9.61"/>
    <n v="4.3"/>
    <n v="2"/>
    <n v="1.1599999999999999"/>
    <x v="0"/>
    <x v="1"/>
  </r>
  <r>
    <x v="27"/>
    <n v="189"/>
    <x v="1"/>
    <x v="0"/>
    <s v="No"/>
    <n v="0"/>
    <n v="227.8"/>
    <n v="124"/>
    <n v="38.729999999999997"/>
    <n v="169.5"/>
    <n v="112"/>
    <n v="14.41"/>
    <n v="201.1"/>
    <n v="91"/>
    <n v="9.0500000000000007"/>
    <n v="5.6"/>
    <n v="4"/>
    <n v="1.51"/>
    <x v="4"/>
    <x v="0"/>
  </r>
  <r>
    <x v="20"/>
    <n v="95"/>
    <x v="1"/>
    <x v="0"/>
    <s v="Yes"/>
    <n v="23"/>
    <n v="160.30000000000001"/>
    <n v="87"/>
    <n v="27.25"/>
    <n v="202.4"/>
    <n v="101"/>
    <n v="17.2"/>
    <n v="191.1"/>
    <n v="122"/>
    <n v="8.6"/>
    <n v="7.4"/>
    <n v="3"/>
    <n v="2"/>
    <x v="3"/>
    <x v="0"/>
  </r>
  <r>
    <x v="5"/>
    <n v="1"/>
    <x v="0"/>
    <x v="0"/>
    <s v="No"/>
    <n v="0"/>
    <n v="175.2"/>
    <n v="74"/>
    <n v="29.78"/>
    <n v="151.69999999999999"/>
    <n v="79"/>
    <n v="12.89"/>
    <n v="230.5"/>
    <n v="109"/>
    <n v="10.37"/>
    <n v="5.3"/>
    <n v="3"/>
    <n v="1.43"/>
    <x v="0"/>
    <x v="0"/>
  </r>
  <r>
    <x v="1"/>
    <n v="141"/>
    <x v="1"/>
    <x v="0"/>
    <s v="Yes"/>
    <n v="39"/>
    <n v="116.9"/>
    <n v="127"/>
    <n v="19.87"/>
    <n v="276.5"/>
    <n v="88"/>
    <n v="23.5"/>
    <n v="289.89999999999998"/>
    <n v="125"/>
    <n v="13.05"/>
    <n v="12.3"/>
    <n v="2"/>
    <n v="3.32"/>
    <x v="3"/>
    <x v="0"/>
  </r>
  <r>
    <x v="18"/>
    <n v="111"/>
    <x v="2"/>
    <x v="0"/>
    <s v="No"/>
    <n v="0"/>
    <n v="152.19999999999999"/>
    <n v="114"/>
    <n v="25.87"/>
    <n v="137.19999999999999"/>
    <n v="102"/>
    <n v="11.66"/>
    <n v="185.9"/>
    <n v="97"/>
    <n v="8.3699999999999992"/>
    <n v="9.8000000000000007"/>
    <n v="3"/>
    <n v="2.65"/>
    <x v="3"/>
    <x v="0"/>
  </r>
  <r>
    <x v="35"/>
    <n v="143"/>
    <x v="0"/>
    <x v="0"/>
    <s v="No"/>
    <n v="0"/>
    <n v="167.8"/>
    <n v="72"/>
    <n v="28.53"/>
    <n v="211"/>
    <n v="99"/>
    <n v="17.940000000000001"/>
    <n v="153.5"/>
    <n v="109"/>
    <n v="6.91"/>
    <n v="10.5"/>
    <n v="6"/>
    <n v="2.84"/>
    <x v="1"/>
    <x v="1"/>
  </r>
  <r>
    <x v="22"/>
    <n v="148"/>
    <x v="1"/>
    <x v="0"/>
    <s v="Yes"/>
    <n v="21"/>
    <n v="262.89999999999998"/>
    <n v="135"/>
    <n v="44.69"/>
    <n v="149.5"/>
    <n v="96"/>
    <n v="12.71"/>
    <n v="140.5"/>
    <n v="109"/>
    <n v="6.32"/>
    <n v="8.1"/>
    <n v="4"/>
    <n v="2.19"/>
    <x v="0"/>
    <x v="0"/>
  </r>
  <r>
    <x v="12"/>
    <n v="143"/>
    <x v="0"/>
    <x v="0"/>
    <s v="Yes"/>
    <n v="22"/>
    <n v="141.80000000000001"/>
    <n v="116"/>
    <n v="24.11"/>
    <n v="167.3"/>
    <n v="99"/>
    <n v="14.22"/>
    <n v="178.1"/>
    <n v="130"/>
    <n v="8.01"/>
    <n v="7.8"/>
    <n v="3"/>
    <n v="2.11"/>
    <x v="0"/>
    <x v="0"/>
  </r>
  <r>
    <x v="24"/>
    <n v="90"/>
    <x v="1"/>
    <x v="0"/>
    <s v="No"/>
    <n v="0"/>
    <n v="167.5"/>
    <n v="96"/>
    <n v="28.48"/>
    <n v="139.1"/>
    <n v="104"/>
    <n v="11.82"/>
    <n v="138.4"/>
    <n v="87"/>
    <n v="6.23"/>
    <n v="13"/>
    <n v="1"/>
    <n v="3.51"/>
    <x v="0"/>
    <x v="0"/>
  </r>
  <r>
    <x v="20"/>
    <n v="169"/>
    <x v="0"/>
    <x v="0"/>
    <s v="No"/>
    <n v="0"/>
    <n v="147.19999999999999"/>
    <n v="115"/>
    <n v="25.02"/>
    <n v="161.9"/>
    <n v="123"/>
    <n v="13.76"/>
    <n v="142.1"/>
    <n v="103"/>
    <n v="6.39"/>
    <n v="7.2"/>
    <n v="6"/>
    <n v="1.94"/>
    <x v="4"/>
    <x v="0"/>
  </r>
  <r>
    <x v="0"/>
    <n v="53"/>
    <x v="1"/>
    <x v="0"/>
    <s v="No"/>
    <n v="0"/>
    <n v="145.1"/>
    <n v="116"/>
    <n v="24.67"/>
    <n v="233.7"/>
    <n v="82"/>
    <n v="19.86"/>
    <n v="208.7"/>
    <n v="95"/>
    <n v="9.39"/>
    <n v="7.9"/>
    <n v="5"/>
    <n v="2.13"/>
    <x v="2"/>
    <x v="0"/>
  </r>
  <r>
    <x v="21"/>
    <n v="15"/>
    <x v="1"/>
    <x v="0"/>
    <s v="No"/>
    <n v="0"/>
    <n v="135.19999999999999"/>
    <n v="101"/>
    <n v="22.98"/>
    <n v="152.5"/>
    <n v="79"/>
    <n v="12.96"/>
    <n v="224.8"/>
    <n v="83"/>
    <n v="10.119999999999999"/>
    <n v="8.4"/>
    <n v="5"/>
    <n v="2.27"/>
    <x v="2"/>
    <x v="0"/>
  </r>
  <r>
    <x v="39"/>
    <n v="123"/>
    <x v="0"/>
    <x v="0"/>
    <s v="Yes"/>
    <n v="28"/>
    <n v="124.7"/>
    <n v="105"/>
    <n v="21.2"/>
    <n v="250.4"/>
    <n v="78"/>
    <n v="21.28"/>
    <n v="216.4"/>
    <n v="128"/>
    <n v="9.74"/>
    <n v="7.8"/>
    <n v="8"/>
    <n v="2.11"/>
    <x v="0"/>
    <x v="0"/>
  </r>
  <r>
    <x v="48"/>
    <n v="95"/>
    <x v="2"/>
    <x v="0"/>
    <s v="No"/>
    <n v="0"/>
    <n v="174"/>
    <n v="57"/>
    <n v="29.58"/>
    <n v="281.10000000000002"/>
    <n v="118"/>
    <n v="23.89"/>
    <n v="197.2"/>
    <n v="94"/>
    <n v="8.8699999999999992"/>
    <n v="9.6999999999999993"/>
    <n v="2"/>
    <n v="2.62"/>
    <x v="3"/>
    <x v="0"/>
  </r>
  <r>
    <x v="18"/>
    <n v="82"/>
    <x v="2"/>
    <x v="0"/>
    <s v="No"/>
    <n v="0"/>
    <n v="265.2"/>
    <n v="122"/>
    <n v="45.08"/>
    <n v="178.7"/>
    <n v="102"/>
    <n v="15.19"/>
    <n v="174.7"/>
    <n v="90"/>
    <n v="7.86"/>
    <n v="10.7"/>
    <n v="9"/>
    <n v="2.89"/>
    <x v="2"/>
    <x v="0"/>
  </r>
  <r>
    <x v="35"/>
    <n v="180"/>
    <x v="1"/>
    <x v="0"/>
    <s v="No"/>
    <n v="0"/>
    <n v="143.30000000000001"/>
    <n v="134"/>
    <n v="24.36"/>
    <n v="180.5"/>
    <n v="113"/>
    <n v="15.34"/>
    <n v="184.2"/>
    <n v="87"/>
    <n v="8.2899999999999991"/>
    <n v="10.1"/>
    <n v="4"/>
    <n v="2.73"/>
    <x v="0"/>
    <x v="0"/>
  </r>
  <r>
    <x v="35"/>
    <n v="125"/>
    <x v="0"/>
    <x v="0"/>
    <s v="No"/>
    <n v="0"/>
    <n v="113"/>
    <n v="108"/>
    <n v="19.21"/>
    <n v="169.2"/>
    <n v="107"/>
    <n v="14.38"/>
    <n v="156.6"/>
    <n v="61"/>
    <n v="7.05"/>
    <n v="9.1999999999999993"/>
    <n v="5"/>
    <n v="2.48"/>
    <x v="2"/>
    <x v="1"/>
  </r>
  <r>
    <x v="25"/>
    <n v="138"/>
    <x v="1"/>
    <x v="1"/>
    <s v="Yes"/>
    <n v="28"/>
    <n v="211.2"/>
    <n v="117"/>
    <n v="35.9"/>
    <n v="312.5"/>
    <n v="98"/>
    <n v="26.56"/>
    <n v="178"/>
    <n v="118"/>
    <n v="8.01"/>
    <n v="10.7"/>
    <n v="2"/>
    <n v="2.89"/>
    <x v="4"/>
    <x v="1"/>
  </r>
  <r>
    <x v="13"/>
    <n v="90"/>
    <x v="0"/>
    <x v="0"/>
    <s v="No"/>
    <n v="0"/>
    <n v="157.9"/>
    <n v="72"/>
    <n v="26.84"/>
    <n v="234"/>
    <n v="93"/>
    <n v="19.89"/>
    <n v="210"/>
    <n v="86"/>
    <n v="9.4499999999999993"/>
    <n v="12.2"/>
    <n v="5"/>
    <n v="3.29"/>
    <x v="2"/>
    <x v="0"/>
  </r>
  <r>
    <x v="31"/>
    <n v="190"/>
    <x v="0"/>
    <x v="0"/>
    <s v="No"/>
    <n v="0"/>
    <n v="182.2"/>
    <n v="101"/>
    <n v="30.97"/>
    <n v="212.3"/>
    <n v="95"/>
    <n v="18.05"/>
    <n v="233"/>
    <n v="123"/>
    <n v="10.49"/>
    <n v="9.3000000000000007"/>
    <n v="4"/>
    <n v="2.5099999999999998"/>
    <x v="2"/>
    <x v="0"/>
  </r>
  <r>
    <x v="49"/>
    <n v="143"/>
    <x v="2"/>
    <x v="0"/>
    <s v="Yes"/>
    <n v="33"/>
    <n v="141.4"/>
    <n v="130"/>
    <n v="24.04"/>
    <n v="186.4"/>
    <n v="114"/>
    <n v="15.84"/>
    <n v="210"/>
    <n v="111"/>
    <n v="9.4499999999999993"/>
    <n v="7.7"/>
    <n v="6"/>
    <n v="2.08"/>
    <x v="0"/>
    <x v="0"/>
  </r>
  <r>
    <x v="41"/>
    <n v="183"/>
    <x v="2"/>
    <x v="0"/>
    <s v="No"/>
    <n v="0"/>
    <n v="108.3"/>
    <n v="87"/>
    <n v="18.41"/>
    <n v="183.6"/>
    <n v="116"/>
    <n v="15.61"/>
    <n v="176.6"/>
    <n v="109"/>
    <n v="7.95"/>
    <n v="13.5"/>
    <n v="2"/>
    <n v="3.65"/>
    <x v="3"/>
    <x v="0"/>
  </r>
  <r>
    <x v="14"/>
    <n v="58"/>
    <x v="1"/>
    <x v="0"/>
    <s v="No"/>
    <n v="0"/>
    <n v="247.2"/>
    <n v="116"/>
    <n v="42.02"/>
    <n v="303.7"/>
    <n v="103"/>
    <n v="25.81"/>
    <n v="105.4"/>
    <n v="94"/>
    <n v="4.74"/>
    <n v="9.3000000000000007"/>
    <n v="2"/>
    <n v="2.5099999999999998"/>
    <x v="2"/>
    <x v="1"/>
  </r>
  <r>
    <x v="48"/>
    <n v="123"/>
    <x v="1"/>
    <x v="0"/>
    <s v="No"/>
    <n v="0"/>
    <n v="166.9"/>
    <n v="98"/>
    <n v="28.37"/>
    <n v="221.8"/>
    <n v="77"/>
    <n v="18.850000000000001"/>
    <n v="243.9"/>
    <n v="114"/>
    <n v="10.98"/>
    <n v="12.8"/>
    <n v="4"/>
    <n v="3.46"/>
    <x v="4"/>
    <x v="0"/>
  </r>
  <r>
    <x v="50"/>
    <n v="155"/>
    <x v="2"/>
    <x v="0"/>
    <s v="No"/>
    <n v="0"/>
    <n v="71.2"/>
    <n v="90"/>
    <n v="12.1"/>
    <n v="304.39999999999998"/>
    <n v="119"/>
    <n v="25.87"/>
    <n v="183.3"/>
    <n v="103"/>
    <n v="8.25"/>
    <n v="8.6"/>
    <n v="4"/>
    <n v="2.3199999999999998"/>
    <x v="3"/>
    <x v="0"/>
  </r>
  <r>
    <x v="10"/>
    <n v="53"/>
    <x v="1"/>
    <x v="0"/>
    <s v="No"/>
    <n v="0"/>
    <n v="164.1"/>
    <n v="106"/>
    <n v="27.9"/>
    <n v="206"/>
    <n v="56"/>
    <n v="17.510000000000002"/>
    <n v="194.7"/>
    <n v="124"/>
    <n v="8.76"/>
    <n v="11.4"/>
    <n v="2"/>
    <n v="3.08"/>
    <x v="0"/>
    <x v="0"/>
  </r>
  <r>
    <x v="12"/>
    <n v="101"/>
    <x v="1"/>
    <x v="0"/>
    <s v="No"/>
    <n v="0"/>
    <n v="154.4"/>
    <n v="130"/>
    <n v="26.25"/>
    <n v="217.2"/>
    <n v="101"/>
    <n v="18.46"/>
    <n v="185.4"/>
    <n v="52"/>
    <n v="8.34"/>
    <n v="13.9"/>
    <n v="4"/>
    <n v="3.75"/>
    <x v="0"/>
    <x v="0"/>
  </r>
  <r>
    <x v="46"/>
    <n v="122"/>
    <x v="0"/>
    <x v="0"/>
    <s v="No"/>
    <n v="0"/>
    <n v="231.2"/>
    <n v="141"/>
    <n v="39.299999999999997"/>
    <n v="267.8"/>
    <n v="136"/>
    <n v="22.76"/>
    <n v="240.3"/>
    <n v="100"/>
    <n v="10.81"/>
    <n v="8.8000000000000007"/>
    <n v="5"/>
    <n v="2.38"/>
    <x v="0"/>
    <x v="1"/>
  </r>
  <r>
    <x v="8"/>
    <n v="163"/>
    <x v="1"/>
    <x v="0"/>
    <s v="No"/>
    <n v="0"/>
    <n v="202.9"/>
    <n v="100"/>
    <n v="34.49"/>
    <n v="178.6"/>
    <n v="46"/>
    <n v="15.18"/>
    <n v="203.8"/>
    <n v="116"/>
    <n v="9.17"/>
    <n v="12.8"/>
    <n v="3"/>
    <n v="3.46"/>
    <x v="5"/>
    <x v="0"/>
  </r>
  <r>
    <x v="46"/>
    <n v="120"/>
    <x v="1"/>
    <x v="0"/>
    <s v="No"/>
    <n v="0"/>
    <n v="177.2"/>
    <n v="88"/>
    <n v="30.12"/>
    <n v="270.39999999999998"/>
    <n v="99"/>
    <n v="22.98"/>
    <n v="231.5"/>
    <n v="90"/>
    <n v="10.42"/>
    <n v="14"/>
    <n v="2"/>
    <n v="3.78"/>
    <x v="2"/>
    <x v="0"/>
  </r>
  <r>
    <x v="48"/>
    <n v="196"/>
    <x v="1"/>
    <x v="0"/>
    <s v="No"/>
    <n v="0"/>
    <n v="133.1"/>
    <n v="80"/>
    <n v="22.63"/>
    <n v="206.5"/>
    <n v="120"/>
    <n v="17.55"/>
    <n v="221.6"/>
    <n v="96"/>
    <n v="9.9700000000000006"/>
    <n v="10.3"/>
    <n v="8"/>
    <n v="2.78"/>
    <x v="0"/>
    <x v="0"/>
  </r>
  <r>
    <x v="19"/>
    <n v="147"/>
    <x v="1"/>
    <x v="0"/>
    <s v="Yes"/>
    <n v="38"/>
    <n v="243.4"/>
    <n v="126"/>
    <n v="41.38"/>
    <n v="273.8"/>
    <n v="109"/>
    <n v="23.27"/>
    <n v="282.89999999999998"/>
    <n v="91"/>
    <n v="12.73"/>
    <n v="14.1"/>
    <n v="8"/>
    <n v="3.81"/>
    <x v="2"/>
    <x v="0"/>
  </r>
  <r>
    <x v="1"/>
    <n v="81"/>
    <x v="0"/>
    <x v="0"/>
    <s v="Yes"/>
    <n v="46"/>
    <n v="168.3"/>
    <n v="124"/>
    <n v="28.61"/>
    <n v="270.89999999999998"/>
    <n v="103"/>
    <n v="23.03"/>
    <n v="222.5"/>
    <n v="98"/>
    <n v="10.01"/>
    <n v="6.7"/>
    <n v="2"/>
    <n v="1.81"/>
    <x v="1"/>
    <x v="0"/>
  </r>
  <r>
    <x v="25"/>
    <n v="165"/>
    <x v="1"/>
    <x v="0"/>
    <s v="Yes"/>
    <n v="33"/>
    <n v="111.6"/>
    <n v="140"/>
    <n v="18.97"/>
    <n v="213.3"/>
    <n v="111"/>
    <n v="18.13"/>
    <n v="267.60000000000002"/>
    <n v="115"/>
    <n v="12.04"/>
    <n v="16"/>
    <n v="3"/>
    <n v="4.32"/>
    <x v="3"/>
    <x v="0"/>
  </r>
  <r>
    <x v="48"/>
    <n v="115"/>
    <x v="1"/>
    <x v="0"/>
    <s v="No"/>
    <n v="0"/>
    <n v="206.2"/>
    <n v="113"/>
    <n v="35.049999999999997"/>
    <n v="176.4"/>
    <n v="102"/>
    <n v="14.99"/>
    <n v="297.10000000000002"/>
    <n v="119"/>
    <n v="13.37"/>
    <n v="11"/>
    <n v="7"/>
    <n v="2.97"/>
    <x v="0"/>
    <x v="0"/>
  </r>
  <r>
    <x v="26"/>
    <n v="90"/>
    <x v="0"/>
    <x v="0"/>
    <s v="Yes"/>
    <n v="27"/>
    <n v="156.69999999999999"/>
    <n v="51"/>
    <n v="26.64"/>
    <n v="236.5"/>
    <n v="118"/>
    <n v="20.100000000000001"/>
    <n v="123.2"/>
    <n v="111"/>
    <n v="5.54"/>
    <n v="12.6"/>
    <n v="6"/>
    <n v="3.4"/>
    <x v="2"/>
    <x v="0"/>
  </r>
  <r>
    <x v="48"/>
    <n v="37"/>
    <x v="1"/>
    <x v="0"/>
    <s v="No"/>
    <n v="0"/>
    <n v="221"/>
    <n v="126"/>
    <n v="37.57"/>
    <n v="204.5"/>
    <n v="110"/>
    <n v="17.38"/>
    <n v="118"/>
    <n v="98"/>
    <n v="5.31"/>
    <n v="6.8"/>
    <n v="3"/>
    <n v="1.84"/>
    <x v="1"/>
    <x v="0"/>
  </r>
  <r>
    <x v="31"/>
    <n v="76"/>
    <x v="2"/>
    <x v="0"/>
    <s v="No"/>
    <n v="0"/>
    <n v="165.7"/>
    <n v="94"/>
    <n v="28.17"/>
    <n v="257.39999999999998"/>
    <n v="80"/>
    <n v="21.88"/>
    <n v="170.8"/>
    <n v="114"/>
    <n v="7.69"/>
    <n v="10"/>
    <n v="4"/>
    <n v="2.7"/>
    <x v="0"/>
    <x v="0"/>
  </r>
  <r>
    <x v="12"/>
    <n v="109"/>
    <x v="2"/>
    <x v="0"/>
    <s v="No"/>
    <n v="0"/>
    <n v="154.80000000000001"/>
    <n v="82"/>
    <n v="26.32"/>
    <n v="287.7"/>
    <n v="109"/>
    <n v="24.45"/>
    <n v="208.4"/>
    <n v="80"/>
    <n v="9.3800000000000008"/>
    <n v="5.9"/>
    <n v="9"/>
    <n v="1.59"/>
    <x v="4"/>
    <x v="0"/>
  </r>
  <r>
    <x v="4"/>
    <n v="105"/>
    <x v="2"/>
    <x v="0"/>
    <s v="No"/>
    <n v="0"/>
    <n v="125.4"/>
    <n v="116"/>
    <n v="21.32"/>
    <n v="261.5"/>
    <n v="95"/>
    <n v="22.23"/>
    <n v="241.6"/>
    <n v="104"/>
    <n v="10.87"/>
    <n v="11.4"/>
    <n v="9"/>
    <n v="3.08"/>
    <x v="2"/>
    <x v="0"/>
  </r>
  <r>
    <x v="6"/>
    <n v="74"/>
    <x v="1"/>
    <x v="0"/>
    <s v="No"/>
    <n v="0"/>
    <n v="124.8"/>
    <n v="114"/>
    <n v="21.22"/>
    <n v="133"/>
    <n v="121"/>
    <n v="11.31"/>
    <n v="160.30000000000001"/>
    <n v="85"/>
    <n v="7.21"/>
    <n v="10.6"/>
    <n v="7"/>
    <n v="2.86"/>
    <x v="4"/>
    <x v="0"/>
  </r>
  <r>
    <x v="22"/>
    <n v="76"/>
    <x v="1"/>
    <x v="0"/>
    <s v="No"/>
    <n v="0"/>
    <n v="179.2"/>
    <n v="85"/>
    <n v="30.46"/>
    <n v="222.9"/>
    <n v="66"/>
    <n v="18.95"/>
    <n v="188.2"/>
    <n v="113"/>
    <n v="8.4700000000000006"/>
    <n v="12.4"/>
    <n v="2"/>
    <n v="3.35"/>
    <x v="3"/>
    <x v="0"/>
  </r>
  <r>
    <x v="34"/>
    <n v="116"/>
    <x v="1"/>
    <x v="0"/>
    <s v="No"/>
    <n v="0"/>
    <n v="245.9"/>
    <n v="73"/>
    <n v="41.8"/>
    <n v="240.1"/>
    <n v="87"/>
    <n v="20.41"/>
    <n v="158.69999999999999"/>
    <n v="89"/>
    <n v="7.14"/>
    <n v="8.9"/>
    <n v="5"/>
    <n v="2.4"/>
    <x v="4"/>
    <x v="0"/>
  </r>
  <r>
    <x v="37"/>
    <n v="138"/>
    <x v="2"/>
    <x v="0"/>
    <s v="No"/>
    <n v="0"/>
    <n v="205.9"/>
    <n v="96"/>
    <n v="35"/>
    <n v="257.10000000000002"/>
    <n v="94"/>
    <n v="21.85"/>
    <n v="209"/>
    <n v="63"/>
    <n v="9.4"/>
    <n v="12.1"/>
    <n v="8"/>
    <n v="3.27"/>
    <x v="3"/>
    <x v="0"/>
  </r>
  <r>
    <x v="39"/>
    <n v="102"/>
    <x v="1"/>
    <x v="0"/>
    <s v="No"/>
    <n v="0"/>
    <n v="186.8"/>
    <n v="92"/>
    <n v="31.76"/>
    <n v="173.7"/>
    <n v="123"/>
    <n v="14.76"/>
    <n v="250.9"/>
    <n v="131"/>
    <n v="11.29"/>
    <n v="9.6999999999999993"/>
    <n v="4"/>
    <n v="2.62"/>
    <x v="2"/>
    <x v="0"/>
  </r>
  <r>
    <x v="37"/>
    <n v="164"/>
    <x v="2"/>
    <x v="0"/>
    <s v="No"/>
    <n v="0"/>
    <n v="192.1"/>
    <n v="95"/>
    <n v="32.659999999999997"/>
    <n v="249.8"/>
    <n v="94"/>
    <n v="21.23"/>
    <n v="132.6"/>
    <n v="100"/>
    <n v="5.97"/>
    <n v="7.3"/>
    <n v="3"/>
    <n v="1.97"/>
    <x v="4"/>
    <x v="0"/>
  </r>
  <r>
    <x v="10"/>
    <n v="125"/>
    <x v="1"/>
    <x v="0"/>
    <s v="No"/>
    <n v="0"/>
    <n v="240.7"/>
    <n v="82"/>
    <n v="40.92"/>
    <n v="269.39999999999998"/>
    <n v="85"/>
    <n v="22.9"/>
    <n v="187.1"/>
    <n v="74"/>
    <n v="8.42"/>
    <n v="10.1"/>
    <n v="3"/>
    <n v="2.73"/>
    <x v="3"/>
    <x v="1"/>
  </r>
  <r>
    <x v="3"/>
    <n v="209"/>
    <x v="2"/>
    <x v="0"/>
    <s v="No"/>
    <n v="0"/>
    <n v="255.1"/>
    <n v="124"/>
    <n v="43.37"/>
    <n v="230.6"/>
    <n v="110"/>
    <n v="19.600000000000001"/>
    <n v="218"/>
    <n v="69"/>
    <n v="9.81"/>
    <n v="8.5"/>
    <n v="5"/>
    <n v="2.2999999999999998"/>
    <x v="4"/>
    <x v="1"/>
  </r>
  <r>
    <x v="23"/>
    <n v="116"/>
    <x v="0"/>
    <x v="0"/>
    <s v="Yes"/>
    <n v="24"/>
    <n v="183.6"/>
    <n v="138"/>
    <n v="31.21"/>
    <n v="203.8"/>
    <n v="90"/>
    <n v="17.32"/>
    <n v="166.9"/>
    <n v="89"/>
    <n v="7.51"/>
    <n v="6"/>
    <n v="3"/>
    <n v="1.62"/>
    <x v="2"/>
    <x v="0"/>
  </r>
  <r>
    <x v="43"/>
    <n v="189"/>
    <x v="1"/>
    <x v="0"/>
    <s v="Yes"/>
    <n v="30"/>
    <n v="155.19999999999999"/>
    <n v="116"/>
    <n v="26.38"/>
    <n v="195.5"/>
    <n v="50"/>
    <n v="16.62"/>
    <n v="170.1"/>
    <n v="108"/>
    <n v="7.65"/>
    <n v="15.4"/>
    <n v="6"/>
    <n v="4.16"/>
    <x v="0"/>
    <x v="0"/>
  </r>
  <r>
    <x v="33"/>
    <n v="84"/>
    <x v="2"/>
    <x v="0"/>
    <s v="No"/>
    <n v="0"/>
    <n v="203.4"/>
    <n v="125"/>
    <n v="34.58"/>
    <n v="182.9"/>
    <n v="88"/>
    <n v="15.55"/>
    <n v="213.7"/>
    <n v="121"/>
    <n v="9.6199999999999992"/>
    <n v="13.8"/>
    <n v="2"/>
    <n v="3.73"/>
    <x v="0"/>
    <x v="0"/>
  </r>
  <r>
    <x v="42"/>
    <n v="182"/>
    <x v="1"/>
    <x v="0"/>
    <s v="No"/>
    <n v="0"/>
    <n v="279.10000000000002"/>
    <n v="124"/>
    <n v="47.45"/>
    <n v="180.5"/>
    <n v="108"/>
    <n v="15.34"/>
    <n v="217.5"/>
    <n v="104"/>
    <n v="9.7899999999999991"/>
    <n v="9.5"/>
    <n v="11"/>
    <n v="2.57"/>
    <x v="2"/>
    <x v="1"/>
  </r>
  <r>
    <x v="4"/>
    <n v="171"/>
    <x v="2"/>
    <x v="0"/>
    <s v="No"/>
    <n v="0"/>
    <n v="189.8"/>
    <n v="122"/>
    <n v="32.270000000000003"/>
    <n v="173.7"/>
    <n v="85"/>
    <n v="14.76"/>
    <n v="257.10000000000002"/>
    <n v="84"/>
    <n v="11.57"/>
    <n v="10.3"/>
    <n v="1"/>
    <n v="2.78"/>
    <x v="3"/>
    <x v="0"/>
  </r>
  <r>
    <x v="36"/>
    <n v="90"/>
    <x v="1"/>
    <x v="0"/>
    <s v="No"/>
    <n v="0"/>
    <n v="198.5"/>
    <n v="124"/>
    <n v="33.75"/>
    <n v="266.60000000000002"/>
    <n v="100"/>
    <n v="22.66"/>
    <n v="243.3"/>
    <n v="80"/>
    <n v="10.95"/>
    <n v="8"/>
    <n v="7"/>
    <n v="2.16"/>
    <x v="2"/>
    <x v="0"/>
  </r>
  <r>
    <x v="22"/>
    <n v="117"/>
    <x v="2"/>
    <x v="0"/>
    <s v="No"/>
    <n v="0"/>
    <n v="158.69999999999999"/>
    <n v="84"/>
    <n v="26.98"/>
    <n v="181.7"/>
    <n v="91"/>
    <n v="15.44"/>
    <n v="177.3"/>
    <n v="67"/>
    <n v="7.98"/>
    <n v="7.7"/>
    <n v="10"/>
    <n v="2.08"/>
    <x v="2"/>
    <x v="0"/>
  </r>
  <r>
    <x v="30"/>
    <n v="186"/>
    <x v="2"/>
    <x v="0"/>
    <s v="No"/>
    <n v="0"/>
    <n v="137.80000000000001"/>
    <n v="97"/>
    <n v="23.43"/>
    <n v="187.7"/>
    <n v="118"/>
    <n v="15.95"/>
    <n v="146.4"/>
    <n v="85"/>
    <n v="6.59"/>
    <n v="8.6999999999999993"/>
    <n v="6"/>
    <n v="2.35"/>
    <x v="0"/>
    <x v="0"/>
  </r>
  <r>
    <x v="5"/>
    <n v="55"/>
    <x v="0"/>
    <x v="0"/>
    <s v="Yes"/>
    <n v="39"/>
    <n v="139.30000000000001"/>
    <n v="101"/>
    <n v="23.68"/>
    <n v="178.3"/>
    <n v="117"/>
    <n v="15.16"/>
    <n v="246.5"/>
    <n v="104"/>
    <n v="11.09"/>
    <n v="8.1"/>
    <n v="1"/>
    <n v="2.19"/>
    <x v="4"/>
    <x v="0"/>
  </r>
  <r>
    <x v="9"/>
    <n v="74"/>
    <x v="0"/>
    <x v="0"/>
    <s v="No"/>
    <n v="0"/>
    <n v="177.4"/>
    <n v="136"/>
    <n v="30.16"/>
    <n v="240.3"/>
    <n v="104"/>
    <n v="20.43"/>
    <n v="237.3"/>
    <n v="133"/>
    <n v="10.68"/>
    <n v="12"/>
    <n v="3"/>
    <n v="3.24"/>
    <x v="3"/>
    <x v="0"/>
  </r>
  <r>
    <x v="1"/>
    <n v="130"/>
    <x v="0"/>
    <x v="0"/>
    <s v="No"/>
    <n v="0"/>
    <n v="115.6"/>
    <n v="129"/>
    <n v="19.649999999999999"/>
    <n v="167.8"/>
    <n v="104"/>
    <n v="14.26"/>
    <n v="141.80000000000001"/>
    <n v="124"/>
    <n v="6.38"/>
    <n v="12.6"/>
    <n v="9"/>
    <n v="3.4"/>
    <x v="0"/>
    <x v="0"/>
  </r>
  <r>
    <x v="39"/>
    <n v="80"/>
    <x v="0"/>
    <x v="0"/>
    <s v="No"/>
    <n v="0"/>
    <n v="51.5"/>
    <n v="90"/>
    <n v="8.76"/>
    <n v="164"/>
    <n v="98"/>
    <n v="13.94"/>
    <n v="169.4"/>
    <n v="80"/>
    <n v="7.62"/>
    <n v="9.5"/>
    <n v="4"/>
    <n v="2.57"/>
    <x v="4"/>
    <x v="0"/>
  </r>
  <r>
    <x v="27"/>
    <n v="120"/>
    <x v="1"/>
    <x v="0"/>
    <s v="No"/>
    <n v="0"/>
    <n v="131.69999999999999"/>
    <n v="99"/>
    <n v="22.39"/>
    <n v="163.1"/>
    <n v="109"/>
    <n v="13.86"/>
    <n v="201.1"/>
    <n v="116"/>
    <n v="9.0500000000000007"/>
    <n v="10.7"/>
    <n v="3"/>
    <n v="2.89"/>
    <x v="0"/>
    <x v="0"/>
  </r>
  <r>
    <x v="23"/>
    <n v="84"/>
    <x v="0"/>
    <x v="0"/>
    <s v="Yes"/>
    <n v="30"/>
    <n v="106.5"/>
    <n v="65"/>
    <n v="18.11"/>
    <n v="225.7"/>
    <n v="108"/>
    <n v="19.18"/>
    <n v="188.6"/>
    <n v="61"/>
    <n v="8.49"/>
    <n v="5.7"/>
    <n v="3"/>
    <n v="1.54"/>
    <x v="2"/>
    <x v="0"/>
  </r>
  <r>
    <x v="42"/>
    <n v="134"/>
    <x v="2"/>
    <x v="0"/>
    <s v="Yes"/>
    <n v="34"/>
    <n v="247.2"/>
    <n v="105"/>
    <n v="42.02"/>
    <n v="225.5"/>
    <n v="133"/>
    <n v="19.170000000000002"/>
    <n v="186.3"/>
    <n v="76"/>
    <n v="8.3800000000000008"/>
    <n v="6.1"/>
    <n v="5"/>
    <n v="1.65"/>
    <x v="2"/>
    <x v="1"/>
  </r>
  <r>
    <x v="11"/>
    <n v="68"/>
    <x v="1"/>
    <x v="0"/>
    <s v="No"/>
    <n v="0"/>
    <n v="158.80000000000001"/>
    <n v="119"/>
    <n v="27"/>
    <n v="211.8"/>
    <n v="105"/>
    <n v="18"/>
    <n v="198.1"/>
    <n v="101"/>
    <n v="8.91"/>
    <n v="10.3"/>
    <n v="3"/>
    <n v="2.78"/>
    <x v="0"/>
    <x v="0"/>
  </r>
  <r>
    <x v="43"/>
    <n v="119"/>
    <x v="0"/>
    <x v="0"/>
    <s v="No"/>
    <n v="0"/>
    <n v="239.1"/>
    <n v="88"/>
    <n v="40.65"/>
    <n v="243.5"/>
    <n v="79"/>
    <n v="20.7"/>
    <n v="230.9"/>
    <n v="92"/>
    <n v="10.39"/>
    <n v="10.9"/>
    <n v="3"/>
    <n v="2.94"/>
    <x v="4"/>
    <x v="1"/>
  </r>
  <r>
    <x v="30"/>
    <n v="166"/>
    <x v="1"/>
    <x v="1"/>
    <s v="Yes"/>
    <n v="28"/>
    <n v="175.8"/>
    <n v="126"/>
    <n v="29.89"/>
    <n v="253.6"/>
    <n v="76"/>
    <n v="21.56"/>
    <n v="128.5"/>
    <n v="72"/>
    <n v="5.78"/>
    <n v="11.4"/>
    <n v="5"/>
    <n v="3.08"/>
    <x v="0"/>
    <x v="0"/>
  </r>
  <r>
    <x v="23"/>
    <n v="90"/>
    <x v="1"/>
    <x v="0"/>
    <s v="Yes"/>
    <n v="42"/>
    <n v="193.3"/>
    <n v="66"/>
    <n v="32.86"/>
    <n v="263.3"/>
    <n v="85"/>
    <n v="22.38"/>
    <n v="214.4"/>
    <n v="97"/>
    <n v="9.65"/>
    <n v="11.1"/>
    <n v="4"/>
    <n v="3"/>
    <x v="3"/>
    <x v="0"/>
  </r>
  <r>
    <x v="16"/>
    <n v="82"/>
    <x v="1"/>
    <x v="0"/>
    <s v="Yes"/>
    <n v="33"/>
    <n v="137.80000000000001"/>
    <n v="95"/>
    <n v="23.43"/>
    <n v="235.5"/>
    <n v="128"/>
    <n v="20.02"/>
    <n v="268.10000000000002"/>
    <n v="70"/>
    <n v="12.06"/>
    <n v="11"/>
    <n v="6"/>
    <n v="2.97"/>
    <x v="2"/>
    <x v="0"/>
  </r>
  <r>
    <x v="7"/>
    <n v="130"/>
    <x v="1"/>
    <x v="0"/>
    <s v="No"/>
    <n v="0"/>
    <n v="263.7"/>
    <n v="113"/>
    <n v="44.83"/>
    <n v="186.5"/>
    <n v="103"/>
    <n v="15.85"/>
    <n v="195.3"/>
    <n v="99"/>
    <n v="8.7899999999999991"/>
    <n v="18.3"/>
    <n v="6"/>
    <n v="4.9400000000000004"/>
    <x v="0"/>
    <x v="1"/>
  </r>
  <r>
    <x v="26"/>
    <n v="130"/>
    <x v="0"/>
    <x v="0"/>
    <s v="No"/>
    <n v="0"/>
    <n v="252"/>
    <n v="101"/>
    <n v="42.84"/>
    <n v="170.2"/>
    <n v="105"/>
    <n v="14.47"/>
    <n v="209.2"/>
    <n v="64"/>
    <n v="9.41"/>
    <n v="5.7"/>
    <n v="5"/>
    <n v="1.54"/>
    <x v="3"/>
    <x v="0"/>
  </r>
  <r>
    <x v="35"/>
    <n v="155"/>
    <x v="0"/>
    <x v="1"/>
    <s v="No"/>
    <n v="0"/>
    <n v="163.1"/>
    <n v="94"/>
    <n v="27.73"/>
    <n v="291.7"/>
    <n v="108"/>
    <n v="24.79"/>
    <n v="96.4"/>
    <n v="111"/>
    <n v="4.34"/>
    <n v="11.2"/>
    <n v="3"/>
    <n v="3.02"/>
    <x v="3"/>
    <x v="0"/>
  </r>
  <r>
    <x v="25"/>
    <n v="81"/>
    <x v="1"/>
    <x v="0"/>
    <s v="No"/>
    <n v="0"/>
    <n v="324.7"/>
    <n v="48"/>
    <n v="55.2"/>
    <n v="236.4"/>
    <n v="82"/>
    <n v="20.09"/>
    <n v="187.6"/>
    <n v="78"/>
    <n v="8.44"/>
    <n v="13.1"/>
    <n v="5"/>
    <n v="3.54"/>
    <x v="3"/>
    <x v="1"/>
  </r>
  <r>
    <x v="31"/>
    <n v="75"/>
    <x v="0"/>
    <x v="0"/>
    <s v="No"/>
    <n v="0"/>
    <n v="203.3"/>
    <n v="70"/>
    <n v="34.56"/>
    <n v="228.9"/>
    <n v="97"/>
    <n v="19.46"/>
    <n v="222.2"/>
    <n v="118"/>
    <n v="10"/>
    <n v="14.3"/>
    <n v="3"/>
    <n v="3.86"/>
    <x v="0"/>
    <x v="0"/>
  </r>
  <r>
    <x v="24"/>
    <n v="178"/>
    <x v="1"/>
    <x v="0"/>
    <s v="Yes"/>
    <n v="35"/>
    <n v="175.4"/>
    <n v="88"/>
    <n v="29.82"/>
    <n v="190"/>
    <n v="65"/>
    <n v="16.149999999999999"/>
    <n v="138.69999999999999"/>
    <n v="94"/>
    <n v="6.24"/>
    <n v="10.5"/>
    <n v="3"/>
    <n v="2.84"/>
    <x v="2"/>
    <x v="0"/>
  </r>
  <r>
    <x v="3"/>
    <n v="112"/>
    <x v="1"/>
    <x v="0"/>
    <s v="No"/>
    <n v="0"/>
    <n v="266"/>
    <n v="97"/>
    <n v="45.22"/>
    <n v="214.6"/>
    <n v="94"/>
    <n v="18.239999999999998"/>
    <n v="306.2"/>
    <n v="100"/>
    <n v="13.78"/>
    <n v="14.2"/>
    <n v="2"/>
    <n v="3.83"/>
    <x v="2"/>
    <x v="1"/>
  </r>
  <r>
    <x v="16"/>
    <n v="100"/>
    <x v="2"/>
    <x v="0"/>
    <s v="No"/>
    <n v="0"/>
    <n v="78.7"/>
    <n v="98"/>
    <n v="13.38"/>
    <n v="225.6"/>
    <n v="102"/>
    <n v="19.18"/>
    <n v="150.4"/>
    <n v="106"/>
    <n v="6.77"/>
    <n v="14"/>
    <n v="8"/>
    <n v="3.78"/>
    <x v="3"/>
    <x v="0"/>
  </r>
  <r>
    <x v="44"/>
    <n v="104"/>
    <x v="1"/>
    <x v="0"/>
    <s v="No"/>
    <n v="0"/>
    <n v="225.9"/>
    <n v="123"/>
    <n v="38.4"/>
    <n v="162.80000000000001"/>
    <n v="106"/>
    <n v="13.84"/>
    <n v="272.10000000000002"/>
    <n v="85"/>
    <n v="12.24"/>
    <n v="10.1"/>
    <n v="4"/>
    <n v="2.73"/>
    <x v="0"/>
    <x v="0"/>
  </r>
  <r>
    <x v="2"/>
    <n v="160"/>
    <x v="0"/>
    <x v="0"/>
    <s v="No"/>
    <n v="0"/>
    <n v="216.8"/>
    <n v="77"/>
    <n v="36.86"/>
    <n v="207.3"/>
    <n v="117"/>
    <n v="17.62"/>
    <n v="228.6"/>
    <n v="117"/>
    <n v="10.29"/>
    <n v="5.6"/>
    <n v="2"/>
    <n v="1.51"/>
    <x v="0"/>
    <x v="0"/>
  </r>
  <r>
    <x v="44"/>
    <n v="87"/>
    <x v="1"/>
    <x v="0"/>
    <s v="No"/>
    <n v="0"/>
    <n v="58"/>
    <n v="125"/>
    <n v="9.86"/>
    <n v="67.5"/>
    <n v="116"/>
    <n v="5.74"/>
    <n v="185.9"/>
    <n v="136"/>
    <n v="8.3699999999999992"/>
    <n v="11.5"/>
    <n v="3"/>
    <n v="3.11"/>
    <x v="3"/>
    <x v="0"/>
  </r>
  <r>
    <x v="24"/>
    <n v="81"/>
    <x v="1"/>
    <x v="0"/>
    <s v="No"/>
    <n v="0"/>
    <n v="173.2"/>
    <n v="80"/>
    <n v="29.44"/>
    <n v="236.2"/>
    <n v="94"/>
    <n v="20.079999999999998"/>
    <n v="240.2"/>
    <n v="84"/>
    <n v="10.81"/>
    <n v="11.8"/>
    <n v="6"/>
    <n v="3.19"/>
    <x v="2"/>
    <x v="0"/>
  </r>
  <r>
    <x v="40"/>
    <n v="28"/>
    <x v="1"/>
    <x v="0"/>
    <s v="No"/>
    <n v="0"/>
    <n v="236.8"/>
    <n v="102"/>
    <n v="40.26"/>
    <n v="167.1"/>
    <n v="87"/>
    <n v="14.2"/>
    <n v="280.2"/>
    <n v="115"/>
    <n v="12.61"/>
    <n v="9.6999999999999993"/>
    <n v="3"/>
    <n v="2.62"/>
    <x v="4"/>
    <x v="0"/>
  </r>
  <r>
    <x v="9"/>
    <n v="95"/>
    <x v="0"/>
    <x v="0"/>
    <s v="No"/>
    <n v="0"/>
    <n v="237.3"/>
    <n v="83"/>
    <n v="40.340000000000003"/>
    <n v="154"/>
    <n v="65"/>
    <n v="13.09"/>
    <n v="237"/>
    <n v="105"/>
    <n v="10.67"/>
    <n v="11.2"/>
    <n v="6"/>
    <n v="3.02"/>
    <x v="0"/>
    <x v="0"/>
  </r>
  <r>
    <x v="42"/>
    <n v="35"/>
    <x v="0"/>
    <x v="0"/>
    <s v="No"/>
    <n v="0"/>
    <n v="158.6"/>
    <n v="67"/>
    <n v="26.96"/>
    <n v="130.4"/>
    <n v="96"/>
    <n v="11.08"/>
    <n v="229.8"/>
    <n v="80"/>
    <n v="10.34"/>
    <n v="6.9"/>
    <n v="5"/>
    <n v="1.86"/>
    <x v="2"/>
    <x v="0"/>
  </r>
  <r>
    <x v="28"/>
    <n v="134"/>
    <x v="2"/>
    <x v="0"/>
    <s v="No"/>
    <n v="0"/>
    <n v="296"/>
    <n v="93"/>
    <n v="50.32"/>
    <n v="226.4"/>
    <n v="117"/>
    <n v="19.239999999999998"/>
    <n v="246.8"/>
    <n v="98"/>
    <n v="11.11"/>
    <n v="12.3"/>
    <n v="10"/>
    <n v="3.32"/>
    <x v="3"/>
    <x v="1"/>
  </r>
  <r>
    <x v="47"/>
    <n v="185"/>
    <x v="1"/>
    <x v="0"/>
    <s v="Yes"/>
    <n v="19"/>
    <n v="157.30000000000001"/>
    <n v="123"/>
    <n v="26.74"/>
    <n v="257.7"/>
    <n v="94"/>
    <n v="21.9"/>
    <n v="190.4"/>
    <n v="107"/>
    <n v="8.57"/>
    <n v="9.6"/>
    <n v="6"/>
    <n v="2.59"/>
    <x v="3"/>
    <x v="0"/>
  </r>
  <r>
    <x v="45"/>
    <n v="85"/>
    <x v="0"/>
    <x v="0"/>
    <s v="No"/>
    <n v="0"/>
    <n v="144.4"/>
    <n v="88"/>
    <n v="24.55"/>
    <n v="264.60000000000002"/>
    <n v="105"/>
    <n v="22.49"/>
    <n v="185.4"/>
    <n v="94"/>
    <n v="8.34"/>
    <n v="9.9"/>
    <n v="3"/>
    <n v="2.67"/>
    <x v="0"/>
    <x v="0"/>
  </r>
  <r>
    <x v="48"/>
    <n v="148"/>
    <x v="1"/>
    <x v="0"/>
    <s v="Yes"/>
    <n v="36"/>
    <n v="77.599999999999994"/>
    <n v="141"/>
    <n v="13.19"/>
    <n v="207"/>
    <n v="60"/>
    <n v="17.600000000000001"/>
    <n v="255.7"/>
    <n v="115"/>
    <n v="11.51"/>
    <n v="10.9"/>
    <n v="2"/>
    <n v="2.94"/>
    <x v="0"/>
    <x v="0"/>
  </r>
  <r>
    <x v="34"/>
    <n v="134"/>
    <x v="0"/>
    <x v="0"/>
    <s v="Yes"/>
    <n v="32"/>
    <n v="80.3"/>
    <n v="94"/>
    <n v="13.65"/>
    <n v="199.9"/>
    <n v="124"/>
    <n v="16.989999999999998"/>
    <n v="170.8"/>
    <n v="117"/>
    <n v="7.69"/>
    <n v="16.600000000000001"/>
    <n v="3"/>
    <n v="4.4800000000000004"/>
    <x v="3"/>
    <x v="0"/>
  </r>
  <r>
    <x v="13"/>
    <n v="80"/>
    <x v="0"/>
    <x v="0"/>
    <s v="Yes"/>
    <n v="36"/>
    <n v="190.3"/>
    <n v="115"/>
    <n v="32.35"/>
    <n v="256.60000000000002"/>
    <n v="78"/>
    <n v="21.81"/>
    <n v="214.9"/>
    <n v="145"/>
    <n v="9.67"/>
    <n v="3.8"/>
    <n v="4"/>
    <n v="1.03"/>
    <x v="0"/>
    <x v="0"/>
  </r>
  <r>
    <x v="20"/>
    <n v="165"/>
    <x v="2"/>
    <x v="0"/>
    <s v="No"/>
    <n v="0"/>
    <n v="209.4"/>
    <n v="67"/>
    <n v="35.6"/>
    <n v="273.8"/>
    <n v="89"/>
    <n v="23.27"/>
    <n v="150.19999999999999"/>
    <n v="88"/>
    <n v="6.76"/>
    <n v="12.8"/>
    <n v="1"/>
    <n v="3.46"/>
    <x v="3"/>
    <x v="0"/>
  </r>
  <r>
    <x v="30"/>
    <n v="65"/>
    <x v="1"/>
    <x v="0"/>
    <s v="Yes"/>
    <n v="34"/>
    <n v="208.8"/>
    <n v="119"/>
    <n v="35.5"/>
    <n v="142.1"/>
    <n v="106"/>
    <n v="12.08"/>
    <n v="214.6"/>
    <n v="87"/>
    <n v="9.66"/>
    <n v="12.5"/>
    <n v="4"/>
    <n v="3.38"/>
    <x v="1"/>
    <x v="0"/>
  </r>
  <r>
    <x v="33"/>
    <n v="104"/>
    <x v="1"/>
    <x v="0"/>
    <s v="No"/>
    <n v="0"/>
    <n v="113.6"/>
    <n v="87"/>
    <n v="19.309999999999999"/>
    <n v="158.6"/>
    <n v="98"/>
    <n v="13.48"/>
    <n v="187.7"/>
    <n v="87"/>
    <n v="8.4499999999999993"/>
    <n v="10.5"/>
    <n v="6"/>
    <n v="2.84"/>
    <x v="2"/>
    <x v="0"/>
  </r>
  <r>
    <x v="37"/>
    <n v="44"/>
    <x v="1"/>
    <x v="0"/>
    <s v="No"/>
    <n v="0"/>
    <n v="202.6"/>
    <n v="89"/>
    <n v="34.44"/>
    <n v="163"/>
    <n v="96"/>
    <n v="13.86"/>
    <n v="268.10000000000002"/>
    <n v="151"/>
    <n v="12.06"/>
    <n v="8.3000000000000007"/>
    <n v="3"/>
    <n v="2.2400000000000002"/>
    <x v="3"/>
    <x v="0"/>
  </r>
  <r>
    <x v="20"/>
    <n v="162"/>
    <x v="1"/>
    <x v="0"/>
    <s v="No"/>
    <n v="0"/>
    <n v="135.19999999999999"/>
    <n v="98"/>
    <n v="22.98"/>
    <n v="242"/>
    <n v="107"/>
    <n v="20.57"/>
    <n v="246.9"/>
    <n v="96"/>
    <n v="11.11"/>
    <n v="10.199999999999999"/>
    <n v="2"/>
    <n v="2.75"/>
    <x v="2"/>
    <x v="0"/>
  </r>
  <r>
    <x v="18"/>
    <n v="96"/>
    <x v="1"/>
    <x v="0"/>
    <s v="No"/>
    <n v="0"/>
    <n v="276.89999999999998"/>
    <n v="105"/>
    <n v="47.07"/>
    <n v="246.9"/>
    <n v="94"/>
    <n v="20.99"/>
    <n v="254.4"/>
    <n v="107"/>
    <n v="11.45"/>
    <n v="10.3"/>
    <n v="3"/>
    <n v="2.78"/>
    <x v="0"/>
    <x v="1"/>
  </r>
  <r>
    <x v="1"/>
    <n v="72"/>
    <x v="2"/>
    <x v="0"/>
    <s v="No"/>
    <n v="0"/>
    <n v="287.39999999999998"/>
    <n v="116"/>
    <n v="48.86"/>
    <n v="235.3"/>
    <n v="126"/>
    <n v="20"/>
    <n v="292.10000000000002"/>
    <n v="114"/>
    <n v="13.14"/>
    <n v="5"/>
    <n v="3"/>
    <n v="1.35"/>
    <x v="1"/>
    <x v="1"/>
  </r>
  <r>
    <x v="19"/>
    <n v="31"/>
    <x v="1"/>
    <x v="0"/>
    <s v="No"/>
    <n v="0"/>
    <n v="97.5"/>
    <n v="129"/>
    <n v="16.579999999999998"/>
    <n v="260.39999999999998"/>
    <n v="78"/>
    <n v="22.13"/>
    <n v="88.7"/>
    <n v="100"/>
    <n v="3.99"/>
    <n v="7"/>
    <n v="5"/>
    <n v="1.89"/>
    <x v="0"/>
    <x v="0"/>
  </r>
  <r>
    <x v="22"/>
    <n v="72"/>
    <x v="1"/>
    <x v="0"/>
    <s v="No"/>
    <n v="0"/>
    <n v="166.5"/>
    <n v="102"/>
    <n v="28.31"/>
    <n v="261"/>
    <n v="103"/>
    <n v="22.19"/>
    <n v="262.7"/>
    <n v="85"/>
    <n v="11.82"/>
    <n v="13.3"/>
    <n v="5"/>
    <n v="3.59"/>
    <x v="3"/>
    <x v="0"/>
  </r>
  <r>
    <x v="45"/>
    <n v="136"/>
    <x v="0"/>
    <x v="0"/>
    <s v="No"/>
    <n v="0"/>
    <n v="102.1"/>
    <n v="75"/>
    <n v="17.36"/>
    <n v="219.5"/>
    <n v="97"/>
    <n v="18.66"/>
    <n v="73.7"/>
    <n v="92"/>
    <n v="3.32"/>
    <n v="9.8000000000000007"/>
    <n v="5"/>
    <n v="2.65"/>
    <x v="3"/>
    <x v="0"/>
  </r>
  <r>
    <x v="25"/>
    <n v="82"/>
    <x v="1"/>
    <x v="0"/>
    <s v="Yes"/>
    <n v="19"/>
    <n v="146.5"/>
    <n v="73"/>
    <n v="24.91"/>
    <n v="246.4"/>
    <n v="65"/>
    <n v="20.94"/>
    <n v="199"/>
    <n v="114"/>
    <n v="8.9600000000000009"/>
    <n v="4.0999999999999996"/>
    <n v="4"/>
    <n v="1.1100000000000001"/>
    <x v="0"/>
    <x v="0"/>
  </r>
  <r>
    <x v="10"/>
    <n v="155"/>
    <x v="0"/>
    <x v="1"/>
    <s v="No"/>
    <n v="0"/>
    <n v="250.8"/>
    <n v="146"/>
    <n v="42.64"/>
    <n v="152.5"/>
    <n v="105"/>
    <n v="12.96"/>
    <n v="148.1"/>
    <n v="104"/>
    <n v="6.66"/>
    <n v="10"/>
    <n v="5"/>
    <n v="2.7"/>
    <x v="2"/>
    <x v="0"/>
  </r>
  <r>
    <x v="50"/>
    <n v="136"/>
    <x v="1"/>
    <x v="0"/>
    <s v="No"/>
    <n v="0"/>
    <n v="163.4"/>
    <n v="83"/>
    <n v="27.78"/>
    <n v="249.3"/>
    <n v="119"/>
    <n v="21.19"/>
    <n v="249.7"/>
    <n v="90"/>
    <n v="11.24"/>
    <n v="9.8000000000000007"/>
    <n v="4"/>
    <n v="2.65"/>
    <x v="8"/>
    <x v="0"/>
  </r>
  <r>
    <x v="26"/>
    <n v="57"/>
    <x v="1"/>
    <x v="0"/>
    <s v="No"/>
    <n v="0"/>
    <n v="161"/>
    <n v="113"/>
    <n v="27.37"/>
    <n v="208"/>
    <n v="134"/>
    <n v="17.68"/>
    <n v="208.1"/>
    <n v="81"/>
    <n v="9.36"/>
    <n v="8.4"/>
    <n v="4"/>
    <n v="2.27"/>
    <x v="4"/>
    <x v="0"/>
  </r>
  <r>
    <x v="24"/>
    <n v="112"/>
    <x v="1"/>
    <x v="0"/>
    <s v="No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x v="0"/>
    <x v="0"/>
  </r>
  <r>
    <x v="31"/>
    <n v="95"/>
    <x v="0"/>
    <x v="0"/>
    <s v="No"/>
    <n v="0"/>
    <n v="128.6"/>
    <n v="115"/>
    <n v="21.86"/>
    <n v="216.2"/>
    <n v="88"/>
    <n v="18.38"/>
    <n v="255.3"/>
    <n v="96"/>
    <n v="11.49"/>
    <n v="6.3"/>
    <n v="2"/>
    <n v="1.7"/>
    <x v="6"/>
    <x v="1"/>
  </r>
  <r>
    <x v="7"/>
    <n v="113"/>
    <x v="1"/>
    <x v="0"/>
    <s v="Yes"/>
    <n v="30"/>
    <n v="183.8"/>
    <n v="102"/>
    <n v="31.25"/>
    <n v="183.4"/>
    <n v="123"/>
    <n v="15.59"/>
    <n v="235"/>
    <n v="52"/>
    <n v="10.58"/>
    <n v="11.6"/>
    <n v="7"/>
    <n v="3.13"/>
    <x v="3"/>
    <x v="0"/>
  </r>
  <r>
    <x v="9"/>
    <n v="103"/>
    <x v="1"/>
    <x v="0"/>
    <s v="No"/>
    <n v="0"/>
    <n v="180.2"/>
    <n v="134"/>
    <n v="30.63"/>
    <n v="97.7"/>
    <n v="85"/>
    <n v="8.3000000000000007"/>
    <n v="181.7"/>
    <n v="134"/>
    <n v="8.18"/>
    <n v="8.4"/>
    <n v="3"/>
    <n v="2.27"/>
    <x v="0"/>
    <x v="0"/>
  </r>
  <r>
    <x v="3"/>
    <n v="149"/>
    <x v="1"/>
    <x v="0"/>
    <s v="Yes"/>
    <n v="20"/>
    <n v="147.80000000000001"/>
    <n v="132"/>
    <n v="25.13"/>
    <n v="276.8"/>
    <n v="94"/>
    <n v="23.53"/>
    <n v="149.9"/>
    <n v="110"/>
    <n v="6.75"/>
    <n v="10.199999999999999"/>
    <n v="6"/>
    <n v="2.75"/>
    <x v="3"/>
    <x v="0"/>
  </r>
  <r>
    <x v="38"/>
    <n v="116"/>
    <x v="0"/>
    <x v="0"/>
    <s v="No"/>
    <n v="0"/>
    <n v="110.9"/>
    <n v="54"/>
    <n v="18.850000000000001"/>
    <n v="213.4"/>
    <n v="82"/>
    <n v="18.14"/>
    <n v="186.2"/>
    <n v="116"/>
    <n v="8.3800000000000008"/>
    <n v="7.9"/>
    <n v="2"/>
    <n v="2.13"/>
    <x v="2"/>
    <x v="0"/>
  </r>
  <r>
    <x v="19"/>
    <n v="95"/>
    <x v="2"/>
    <x v="0"/>
    <s v="No"/>
    <n v="0"/>
    <n v="58.2"/>
    <n v="96"/>
    <n v="9.89"/>
    <n v="202.1"/>
    <n v="126"/>
    <n v="17.18"/>
    <n v="210.5"/>
    <n v="97"/>
    <n v="9.4700000000000006"/>
    <n v="10.4"/>
    <n v="5"/>
    <n v="2.81"/>
    <x v="3"/>
    <x v="0"/>
  </r>
  <r>
    <x v="37"/>
    <n v="201"/>
    <x v="2"/>
    <x v="0"/>
    <s v="No"/>
    <n v="0"/>
    <n v="212.7"/>
    <n v="72"/>
    <n v="36.159999999999997"/>
    <n v="225.2"/>
    <n v="90"/>
    <n v="19.14"/>
    <n v="195.1"/>
    <n v="99"/>
    <n v="8.7799999999999994"/>
    <n v="7"/>
    <n v="6"/>
    <n v="1.89"/>
    <x v="0"/>
    <x v="0"/>
  </r>
  <r>
    <x v="4"/>
    <n v="150"/>
    <x v="1"/>
    <x v="0"/>
    <s v="No"/>
    <n v="0"/>
    <n v="214"/>
    <n v="117"/>
    <n v="36.380000000000003"/>
    <n v="192.4"/>
    <n v="89"/>
    <n v="16.350000000000001"/>
    <n v="242.6"/>
    <n v="99"/>
    <n v="10.92"/>
    <n v="7.9"/>
    <n v="4"/>
    <n v="2.13"/>
    <x v="0"/>
    <x v="0"/>
  </r>
  <r>
    <x v="6"/>
    <n v="108"/>
    <x v="0"/>
    <x v="1"/>
    <s v="No"/>
    <n v="0"/>
    <n v="115.1"/>
    <n v="114"/>
    <n v="19.57"/>
    <n v="211.3"/>
    <n v="70"/>
    <n v="17.96"/>
    <n v="136.1"/>
    <n v="85"/>
    <n v="6.12"/>
    <n v="13.8"/>
    <n v="3"/>
    <n v="3.73"/>
    <x v="2"/>
    <x v="1"/>
  </r>
  <r>
    <x v="21"/>
    <n v="101"/>
    <x v="1"/>
    <x v="1"/>
    <s v="No"/>
    <n v="0"/>
    <n v="156.4"/>
    <n v="116"/>
    <n v="26.59"/>
    <n v="130.4"/>
    <n v="114"/>
    <n v="11.08"/>
    <n v="207.3"/>
    <n v="109"/>
    <n v="9.33"/>
    <n v="7.3"/>
    <n v="5"/>
    <n v="1.97"/>
    <x v="0"/>
    <x v="0"/>
  </r>
  <r>
    <x v="22"/>
    <n v="182"/>
    <x v="1"/>
    <x v="0"/>
    <s v="Yes"/>
    <n v="24"/>
    <n v="128.1"/>
    <n v="104"/>
    <n v="21.78"/>
    <n v="143.4"/>
    <n v="127"/>
    <n v="12.19"/>
    <n v="191"/>
    <n v="98"/>
    <n v="8.59"/>
    <n v="11.6"/>
    <n v="3"/>
    <n v="3.13"/>
    <x v="0"/>
    <x v="0"/>
  </r>
  <r>
    <x v="11"/>
    <n v="128"/>
    <x v="0"/>
    <x v="0"/>
    <s v="No"/>
    <n v="0"/>
    <n v="227.9"/>
    <n v="130"/>
    <n v="38.74"/>
    <n v="302.60000000000002"/>
    <n v="71"/>
    <n v="25.72"/>
    <n v="191.5"/>
    <n v="82"/>
    <n v="8.6199999999999992"/>
    <n v="5.5"/>
    <n v="7"/>
    <n v="1.49"/>
    <x v="0"/>
    <x v="1"/>
  </r>
  <r>
    <x v="8"/>
    <n v="113"/>
    <x v="0"/>
    <x v="0"/>
    <s v="Yes"/>
    <n v="34"/>
    <n v="44.9"/>
    <n v="63"/>
    <n v="7.63"/>
    <n v="134.19999999999999"/>
    <n v="82"/>
    <n v="11.41"/>
    <n v="168.4"/>
    <n v="118"/>
    <n v="7.58"/>
    <n v="13.3"/>
    <n v="3"/>
    <n v="3.59"/>
    <x v="0"/>
    <x v="0"/>
  </r>
  <r>
    <x v="35"/>
    <n v="76"/>
    <x v="1"/>
    <x v="0"/>
    <s v="No"/>
    <n v="0"/>
    <n v="171.1"/>
    <n v="78"/>
    <n v="29.09"/>
    <n v="257.2"/>
    <n v="83"/>
    <n v="21.86"/>
    <n v="91.6"/>
    <n v="92"/>
    <n v="4.12"/>
    <n v="16.2"/>
    <n v="3"/>
    <n v="4.37"/>
    <x v="0"/>
    <x v="0"/>
  </r>
  <r>
    <x v="43"/>
    <n v="204"/>
    <x v="2"/>
    <x v="0"/>
    <s v="No"/>
    <n v="0"/>
    <n v="205.2"/>
    <n v="145"/>
    <n v="34.880000000000003"/>
    <n v="154.80000000000001"/>
    <n v="95"/>
    <n v="13.16"/>
    <n v="191.4"/>
    <n v="77"/>
    <n v="8.61"/>
    <n v="14.1"/>
    <n v="5"/>
    <n v="3.81"/>
    <x v="4"/>
    <x v="0"/>
  </r>
  <r>
    <x v="20"/>
    <n v="32"/>
    <x v="1"/>
    <x v="0"/>
    <s v="Yes"/>
    <n v="31"/>
    <n v="232.8"/>
    <n v="97"/>
    <n v="39.58"/>
    <n v="183.5"/>
    <n v="111"/>
    <n v="15.6"/>
    <n v="206.8"/>
    <n v="111"/>
    <n v="9.31"/>
    <n v="13"/>
    <n v="2"/>
    <n v="3.51"/>
    <x v="3"/>
    <x v="0"/>
  </r>
  <r>
    <x v="15"/>
    <n v="103"/>
    <x v="1"/>
    <x v="0"/>
    <s v="Yes"/>
    <n v="37"/>
    <n v="153.5"/>
    <n v="78"/>
    <n v="26.1"/>
    <n v="241.9"/>
    <n v="108"/>
    <n v="20.56"/>
    <n v="244.7"/>
    <n v="110"/>
    <n v="11.01"/>
    <n v="10.6"/>
    <n v="3"/>
    <n v="2.86"/>
    <x v="0"/>
    <x v="0"/>
  </r>
  <r>
    <x v="37"/>
    <n v="148"/>
    <x v="2"/>
    <x v="0"/>
    <s v="No"/>
    <n v="0"/>
    <n v="203"/>
    <n v="92"/>
    <n v="34.51"/>
    <n v="150.9"/>
    <n v="125"/>
    <n v="12.83"/>
    <n v="245.5"/>
    <n v="131"/>
    <n v="11.05"/>
    <n v="14.6"/>
    <n v="9"/>
    <n v="3.94"/>
    <x v="0"/>
    <x v="0"/>
  </r>
  <r>
    <x v="15"/>
    <n v="57"/>
    <x v="1"/>
    <x v="0"/>
    <s v="No"/>
    <n v="0"/>
    <n v="85.9"/>
    <n v="92"/>
    <n v="14.6"/>
    <n v="193.9"/>
    <n v="127"/>
    <n v="16.48"/>
    <n v="231.5"/>
    <n v="93"/>
    <n v="10.42"/>
    <n v="10.1"/>
    <n v="2"/>
    <n v="2.73"/>
    <x v="3"/>
    <x v="0"/>
  </r>
  <r>
    <x v="14"/>
    <n v="64"/>
    <x v="1"/>
    <x v="1"/>
    <s v="No"/>
    <n v="0"/>
    <n v="146.69999999999999"/>
    <n v="83"/>
    <n v="24.94"/>
    <n v="148.30000000000001"/>
    <n v="91"/>
    <n v="12.61"/>
    <n v="238.6"/>
    <n v="69"/>
    <n v="10.74"/>
    <n v="12.5"/>
    <n v="3"/>
    <n v="3.38"/>
    <x v="4"/>
    <x v="0"/>
  </r>
  <r>
    <x v="39"/>
    <n v="70"/>
    <x v="1"/>
    <x v="0"/>
    <s v="No"/>
    <n v="0"/>
    <n v="152.80000000000001"/>
    <n v="145"/>
    <n v="25.98"/>
    <n v="183.6"/>
    <n v="102"/>
    <n v="15.61"/>
    <n v="151.80000000000001"/>
    <n v="75"/>
    <n v="6.83"/>
    <n v="10.5"/>
    <n v="2"/>
    <n v="2.84"/>
    <x v="0"/>
    <x v="0"/>
  </r>
  <r>
    <x v="13"/>
    <n v="142"/>
    <x v="0"/>
    <x v="0"/>
    <s v="No"/>
    <n v="0"/>
    <n v="216.8"/>
    <n v="134"/>
    <n v="36.86"/>
    <n v="187.8"/>
    <n v="106"/>
    <n v="15.96"/>
    <n v="138.1"/>
    <n v="108"/>
    <n v="6.21"/>
    <n v="8.3000000000000007"/>
    <n v="2"/>
    <n v="2.2400000000000002"/>
    <x v="3"/>
    <x v="0"/>
  </r>
  <r>
    <x v="16"/>
    <n v="88"/>
    <x v="1"/>
    <x v="0"/>
    <s v="No"/>
    <n v="0"/>
    <n v="172.8"/>
    <n v="81"/>
    <n v="29.38"/>
    <n v="193.4"/>
    <n v="90"/>
    <n v="16.440000000000001"/>
    <n v="89.6"/>
    <n v="107"/>
    <n v="4.03"/>
    <n v="12.8"/>
    <n v="5"/>
    <n v="3.46"/>
    <x v="2"/>
    <x v="0"/>
  </r>
  <r>
    <x v="41"/>
    <n v="131"/>
    <x v="2"/>
    <x v="0"/>
    <s v="No"/>
    <n v="0"/>
    <n v="263.39999999999998"/>
    <n v="123"/>
    <n v="44.78"/>
    <n v="151.9"/>
    <n v="74"/>
    <n v="12.91"/>
    <n v="218.5"/>
    <n v="101"/>
    <n v="9.83"/>
    <n v="10.7"/>
    <n v="2"/>
    <n v="2.89"/>
    <x v="2"/>
    <x v="0"/>
  </r>
  <r>
    <x v="15"/>
    <n v="130"/>
    <x v="0"/>
    <x v="0"/>
    <s v="No"/>
    <n v="0"/>
    <n v="271.8"/>
    <n v="129"/>
    <n v="46.21"/>
    <n v="237.2"/>
    <n v="128"/>
    <n v="20.16"/>
    <n v="210.1"/>
    <n v="91"/>
    <n v="9.4499999999999993"/>
    <n v="8.6999999999999993"/>
    <n v="2"/>
    <n v="2.35"/>
    <x v="1"/>
    <x v="1"/>
  </r>
  <r>
    <x v="25"/>
    <n v="166"/>
    <x v="2"/>
    <x v="0"/>
    <s v="No"/>
    <n v="0"/>
    <n v="199.6"/>
    <n v="93"/>
    <n v="33.93"/>
    <n v="214.3"/>
    <n v="99"/>
    <n v="18.22"/>
    <n v="196.8"/>
    <n v="110"/>
    <n v="8.86"/>
    <n v="7.2"/>
    <n v="5"/>
    <n v="1.94"/>
    <x v="4"/>
    <x v="0"/>
  </r>
  <r>
    <x v="27"/>
    <n v="130"/>
    <x v="2"/>
    <x v="0"/>
    <s v="No"/>
    <n v="0"/>
    <n v="203.9"/>
    <n v="63"/>
    <n v="34.659999999999997"/>
    <n v="191.8"/>
    <n v="93"/>
    <n v="16.3"/>
    <n v="132.5"/>
    <n v="125"/>
    <n v="5.96"/>
    <n v="12.1"/>
    <n v="4"/>
    <n v="3.27"/>
    <x v="4"/>
    <x v="0"/>
  </r>
  <r>
    <x v="3"/>
    <n v="111"/>
    <x v="2"/>
    <x v="0"/>
    <s v="No"/>
    <n v="0"/>
    <n v="78.3"/>
    <n v="119"/>
    <n v="13.31"/>
    <n v="198.2"/>
    <n v="94"/>
    <n v="16.850000000000001"/>
    <n v="248.5"/>
    <n v="94"/>
    <n v="11.18"/>
    <n v="12.1"/>
    <n v="4"/>
    <n v="3.27"/>
    <x v="0"/>
    <x v="0"/>
  </r>
  <r>
    <x v="1"/>
    <n v="100"/>
    <x v="1"/>
    <x v="0"/>
    <s v="Yes"/>
    <n v="32"/>
    <n v="125.2"/>
    <n v="123"/>
    <n v="21.28"/>
    <n v="230.9"/>
    <n v="101"/>
    <n v="19.63"/>
    <n v="192"/>
    <n v="106"/>
    <n v="8.64"/>
    <n v="12.6"/>
    <n v="9"/>
    <n v="3.4"/>
    <x v="4"/>
    <x v="0"/>
  </r>
  <r>
    <x v="40"/>
    <n v="57"/>
    <x v="1"/>
    <x v="0"/>
    <s v="No"/>
    <n v="0"/>
    <n v="221.1"/>
    <n v="101"/>
    <n v="37.590000000000003"/>
    <n v="236.7"/>
    <n v="65"/>
    <n v="20.12"/>
    <n v="252.3"/>
    <n v="137"/>
    <n v="11.35"/>
    <n v="9.5"/>
    <n v="1"/>
    <n v="2.57"/>
    <x v="3"/>
    <x v="0"/>
  </r>
  <r>
    <x v="36"/>
    <n v="139"/>
    <x v="0"/>
    <x v="0"/>
    <s v="No"/>
    <n v="0"/>
    <n v="139"/>
    <n v="110"/>
    <n v="23.63"/>
    <n v="132.9"/>
    <n v="93"/>
    <n v="11.3"/>
    <n v="272"/>
    <n v="120"/>
    <n v="12.24"/>
    <n v="12.1"/>
    <n v="1"/>
    <n v="3.27"/>
    <x v="3"/>
    <x v="0"/>
  </r>
  <r>
    <x v="25"/>
    <n v="113"/>
    <x v="1"/>
    <x v="0"/>
    <s v="No"/>
    <n v="0"/>
    <n v="159.80000000000001"/>
    <n v="143"/>
    <n v="27.17"/>
    <n v="210.1"/>
    <n v="93"/>
    <n v="17.86"/>
    <n v="175.1"/>
    <n v="86"/>
    <n v="7.88"/>
    <n v="13.1"/>
    <n v="7"/>
    <n v="3.54"/>
    <x v="2"/>
    <x v="0"/>
  </r>
  <r>
    <x v="42"/>
    <n v="108"/>
    <x v="1"/>
    <x v="0"/>
    <s v="No"/>
    <n v="0"/>
    <n v="239.3"/>
    <n v="102"/>
    <n v="40.68"/>
    <n v="223.4"/>
    <n v="127"/>
    <n v="18.989999999999998"/>
    <n v="251.4"/>
    <n v="104"/>
    <n v="11.31"/>
    <n v="10.6"/>
    <n v="6"/>
    <n v="2.86"/>
    <x v="3"/>
    <x v="0"/>
  </r>
  <r>
    <x v="12"/>
    <n v="100"/>
    <x v="1"/>
    <x v="0"/>
    <s v="No"/>
    <n v="0"/>
    <n v="113.3"/>
    <n v="96"/>
    <n v="19.260000000000002"/>
    <n v="197.9"/>
    <n v="89"/>
    <n v="16.82"/>
    <n v="284.5"/>
    <n v="93"/>
    <n v="12.8"/>
    <n v="11.7"/>
    <n v="2"/>
    <n v="3.16"/>
    <x v="1"/>
    <x v="1"/>
  </r>
  <r>
    <x v="44"/>
    <n v="120"/>
    <x v="2"/>
    <x v="0"/>
    <s v="No"/>
    <n v="0"/>
    <n v="192.6"/>
    <n v="123"/>
    <n v="32.74"/>
    <n v="206.4"/>
    <n v="105"/>
    <n v="17.54"/>
    <n v="283.2"/>
    <n v="93"/>
    <n v="12.74"/>
    <n v="10.8"/>
    <n v="3"/>
    <n v="2.92"/>
    <x v="0"/>
    <x v="0"/>
  </r>
  <r>
    <x v="42"/>
    <n v="107"/>
    <x v="0"/>
    <x v="0"/>
    <s v="Yes"/>
    <n v="36"/>
    <n v="96.3"/>
    <n v="83"/>
    <n v="16.37"/>
    <n v="179.6"/>
    <n v="91"/>
    <n v="15.27"/>
    <n v="166.3"/>
    <n v="121"/>
    <n v="7.48"/>
    <n v="10.3"/>
    <n v="2"/>
    <n v="2.78"/>
    <x v="0"/>
    <x v="0"/>
  </r>
  <r>
    <x v="1"/>
    <n v="104"/>
    <x v="0"/>
    <x v="0"/>
    <s v="No"/>
    <n v="0"/>
    <n v="280.39999999999998"/>
    <n v="127"/>
    <n v="47.67"/>
    <n v="179.4"/>
    <n v="79"/>
    <n v="15.25"/>
    <n v="150.6"/>
    <n v="77"/>
    <n v="6.78"/>
    <n v="15.2"/>
    <n v="6"/>
    <n v="4.0999999999999996"/>
    <x v="5"/>
    <x v="0"/>
  </r>
  <r>
    <x v="24"/>
    <n v="62"/>
    <x v="1"/>
    <x v="0"/>
    <s v="No"/>
    <n v="0"/>
    <n v="245.3"/>
    <n v="91"/>
    <n v="41.7"/>
    <n v="122.9"/>
    <n v="130"/>
    <n v="10.45"/>
    <n v="228.4"/>
    <n v="102"/>
    <n v="10.28"/>
    <n v="8.5"/>
    <n v="4"/>
    <n v="2.2999999999999998"/>
    <x v="1"/>
    <x v="0"/>
  </r>
  <r>
    <x v="12"/>
    <n v="34"/>
    <x v="1"/>
    <x v="0"/>
    <s v="Yes"/>
    <n v="14"/>
    <n v="151.5"/>
    <n v="100"/>
    <n v="25.76"/>
    <n v="248.7"/>
    <n v="126"/>
    <n v="21.14"/>
    <n v="199.8"/>
    <n v="120"/>
    <n v="8.99"/>
    <n v="10.7"/>
    <n v="5"/>
    <n v="2.89"/>
    <x v="2"/>
    <x v="0"/>
  </r>
  <r>
    <x v="24"/>
    <n v="183"/>
    <x v="1"/>
    <x v="0"/>
    <s v="No"/>
    <n v="0"/>
    <n v="190"/>
    <n v="100"/>
    <n v="32.299999999999997"/>
    <n v="246.6"/>
    <n v="78"/>
    <n v="20.96"/>
    <n v="304.2"/>
    <n v="107"/>
    <n v="13.69"/>
    <n v="9.5"/>
    <n v="4"/>
    <n v="2.57"/>
    <x v="0"/>
    <x v="0"/>
  </r>
  <r>
    <x v="41"/>
    <n v="123"/>
    <x v="0"/>
    <x v="0"/>
    <s v="No"/>
    <n v="0"/>
    <n v="114.8"/>
    <n v="94"/>
    <n v="19.52"/>
    <n v="150"/>
    <n v="104"/>
    <n v="12.75"/>
    <n v="268.60000000000002"/>
    <n v="119"/>
    <n v="12.09"/>
    <n v="9.6"/>
    <n v="4"/>
    <n v="2.59"/>
    <x v="2"/>
    <x v="0"/>
  </r>
  <r>
    <x v="1"/>
    <n v="64"/>
    <x v="0"/>
    <x v="0"/>
    <s v="No"/>
    <n v="0"/>
    <n v="113.8"/>
    <n v="97"/>
    <n v="19.350000000000001"/>
    <n v="192.3"/>
    <n v="97"/>
    <n v="16.350000000000001"/>
    <n v="214.9"/>
    <n v="89"/>
    <n v="9.67"/>
    <n v="10.4"/>
    <n v="1"/>
    <n v="2.81"/>
    <x v="4"/>
    <x v="0"/>
  </r>
  <r>
    <x v="46"/>
    <n v="27"/>
    <x v="1"/>
    <x v="0"/>
    <s v="No"/>
    <n v="0"/>
    <n v="227.4"/>
    <n v="67"/>
    <n v="38.659999999999997"/>
    <n v="248"/>
    <n v="115"/>
    <n v="21.08"/>
    <n v="61.4"/>
    <n v="109"/>
    <n v="2.76"/>
    <n v="7.8"/>
    <n v="6"/>
    <n v="2.11"/>
    <x v="0"/>
    <x v="0"/>
  </r>
  <r>
    <x v="23"/>
    <n v="123"/>
    <x v="0"/>
    <x v="0"/>
    <s v="No"/>
    <n v="0"/>
    <n v="224"/>
    <n v="99"/>
    <n v="38.08"/>
    <n v="210.7"/>
    <n v="80"/>
    <n v="17.91"/>
    <n v="231.9"/>
    <n v="75"/>
    <n v="10.44"/>
    <n v="2.1"/>
    <n v="5"/>
    <n v="0.56999999999999995"/>
    <x v="3"/>
    <x v="0"/>
  </r>
  <r>
    <x v="24"/>
    <n v="84"/>
    <x v="0"/>
    <x v="0"/>
    <s v="Yes"/>
    <n v="41"/>
    <n v="153.9"/>
    <n v="102"/>
    <n v="26.16"/>
    <n v="140.69999999999999"/>
    <n v="117"/>
    <n v="11.96"/>
    <n v="217.7"/>
    <n v="101"/>
    <n v="9.8000000000000007"/>
    <n v="12.8"/>
    <n v="5"/>
    <n v="3.46"/>
    <x v="0"/>
    <x v="0"/>
  </r>
  <r>
    <x v="0"/>
    <n v="91"/>
    <x v="1"/>
    <x v="0"/>
    <s v="No"/>
    <n v="0"/>
    <n v="190.5"/>
    <n v="128"/>
    <n v="32.39"/>
    <n v="205.5"/>
    <n v="103"/>
    <n v="17.47"/>
    <n v="130.69999999999999"/>
    <n v="63"/>
    <n v="5.88"/>
    <n v="13.8"/>
    <n v="5"/>
    <n v="3.73"/>
    <x v="3"/>
    <x v="0"/>
  </r>
  <r>
    <x v="14"/>
    <n v="95"/>
    <x v="2"/>
    <x v="0"/>
    <s v="No"/>
    <n v="0"/>
    <n v="157.30000000000001"/>
    <n v="116"/>
    <n v="26.74"/>
    <n v="197.5"/>
    <n v="77"/>
    <n v="16.79"/>
    <n v="128.19999999999999"/>
    <n v="111"/>
    <n v="5.77"/>
    <n v="8.4"/>
    <n v="4"/>
    <n v="2.27"/>
    <x v="2"/>
    <x v="0"/>
  </r>
  <r>
    <x v="44"/>
    <n v="73"/>
    <x v="1"/>
    <x v="0"/>
    <s v="No"/>
    <n v="0"/>
    <n v="240.3"/>
    <n v="130"/>
    <n v="40.85"/>
    <n v="162.5"/>
    <n v="83"/>
    <n v="13.81"/>
    <n v="231.9"/>
    <n v="136"/>
    <n v="10.44"/>
    <n v="11.9"/>
    <n v="3"/>
    <n v="3.21"/>
    <x v="3"/>
    <x v="0"/>
  </r>
  <r>
    <x v="44"/>
    <n v="58"/>
    <x v="0"/>
    <x v="0"/>
    <s v="Yes"/>
    <n v="39"/>
    <n v="211.9"/>
    <n v="40"/>
    <n v="36.020000000000003"/>
    <n v="274.39999999999998"/>
    <n v="76"/>
    <n v="23.32"/>
    <n v="210.5"/>
    <n v="139"/>
    <n v="9.4700000000000006"/>
    <n v="5.4"/>
    <n v="4"/>
    <n v="1.46"/>
    <x v="0"/>
    <x v="0"/>
  </r>
  <r>
    <x v="49"/>
    <n v="88"/>
    <x v="1"/>
    <x v="0"/>
    <s v="No"/>
    <n v="0"/>
    <n v="113.7"/>
    <n v="67"/>
    <n v="19.329999999999998"/>
    <n v="165.1"/>
    <n v="127"/>
    <n v="14.03"/>
    <n v="141.5"/>
    <n v="142"/>
    <n v="6.37"/>
    <n v="10.8"/>
    <n v="3"/>
    <n v="2.92"/>
    <x v="0"/>
    <x v="0"/>
  </r>
  <r>
    <x v="19"/>
    <n v="67"/>
    <x v="1"/>
    <x v="0"/>
    <s v="Yes"/>
    <n v="41"/>
    <n v="174.7"/>
    <n v="86"/>
    <n v="29.7"/>
    <n v="160.6"/>
    <n v="93"/>
    <n v="13.65"/>
    <n v="155.30000000000001"/>
    <n v="108"/>
    <n v="6.99"/>
    <n v="13.4"/>
    <n v="1"/>
    <n v="3.62"/>
    <x v="3"/>
    <x v="0"/>
  </r>
  <r>
    <x v="18"/>
    <n v="152"/>
    <x v="2"/>
    <x v="0"/>
    <s v="No"/>
    <n v="0"/>
    <n v="161.4"/>
    <n v="84"/>
    <n v="27.44"/>
    <n v="163.6"/>
    <n v="88"/>
    <n v="13.91"/>
    <n v="153.19999999999999"/>
    <n v="121"/>
    <n v="6.89"/>
    <n v="11.8"/>
    <n v="5"/>
    <n v="3.19"/>
    <x v="0"/>
    <x v="0"/>
  </r>
  <r>
    <x v="45"/>
    <n v="142"/>
    <x v="2"/>
    <x v="0"/>
    <s v="Yes"/>
    <n v="40"/>
    <n v="230.7"/>
    <n v="101"/>
    <n v="39.22"/>
    <n v="256.8"/>
    <n v="88"/>
    <n v="21.83"/>
    <n v="263.89999999999998"/>
    <n v="92"/>
    <n v="11.88"/>
    <n v="6.4"/>
    <n v="3"/>
    <n v="1.73"/>
    <x v="0"/>
    <x v="0"/>
  </r>
  <r>
    <x v="7"/>
    <n v="105"/>
    <x v="0"/>
    <x v="0"/>
    <s v="No"/>
    <n v="0"/>
    <n v="232.6"/>
    <n v="96"/>
    <n v="39.54"/>
    <n v="253.4"/>
    <n v="117"/>
    <n v="21.54"/>
    <n v="154"/>
    <n v="101"/>
    <n v="6.93"/>
    <n v="10.5"/>
    <n v="9"/>
    <n v="2.84"/>
    <x v="0"/>
    <x v="0"/>
  </r>
  <r>
    <x v="39"/>
    <n v="93"/>
    <x v="0"/>
    <x v="0"/>
    <s v="Yes"/>
    <n v="22"/>
    <n v="306.2"/>
    <n v="123"/>
    <n v="52.05"/>
    <n v="189.7"/>
    <n v="83"/>
    <n v="16.12"/>
    <n v="240.3"/>
    <n v="107"/>
    <n v="10.81"/>
    <n v="11.7"/>
    <n v="2"/>
    <n v="3.16"/>
    <x v="3"/>
    <x v="0"/>
  </r>
  <r>
    <x v="14"/>
    <n v="79"/>
    <x v="1"/>
    <x v="0"/>
    <s v="No"/>
    <n v="0"/>
    <n v="236.8"/>
    <n v="135"/>
    <n v="40.26"/>
    <n v="186.4"/>
    <n v="87"/>
    <n v="15.84"/>
    <n v="126.9"/>
    <n v="112"/>
    <n v="5.71"/>
    <n v="10.4"/>
    <n v="5"/>
    <n v="2.81"/>
    <x v="2"/>
    <x v="0"/>
  </r>
  <r>
    <x v="3"/>
    <n v="88"/>
    <x v="0"/>
    <x v="0"/>
    <s v="No"/>
    <n v="0"/>
    <n v="153.5"/>
    <n v="94"/>
    <n v="26.1"/>
    <n v="251.7"/>
    <n v="118"/>
    <n v="21.39"/>
    <n v="182.2"/>
    <n v="99"/>
    <n v="8.1999999999999993"/>
    <n v="8.5"/>
    <n v="6"/>
    <n v="2.2999999999999998"/>
    <x v="0"/>
    <x v="0"/>
  </r>
  <r>
    <x v="31"/>
    <n v="110"/>
    <x v="0"/>
    <x v="0"/>
    <s v="No"/>
    <n v="0"/>
    <n v="159.5"/>
    <n v="145"/>
    <n v="27.12"/>
    <n v="202.3"/>
    <n v="101"/>
    <n v="17.2"/>
    <n v="256"/>
    <n v="96"/>
    <n v="11.52"/>
    <n v="16.7"/>
    <n v="2"/>
    <n v="4.51"/>
    <x v="2"/>
    <x v="0"/>
  </r>
  <r>
    <x v="2"/>
    <n v="209"/>
    <x v="1"/>
    <x v="0"/>
    <s v="No"/>
    <n v="0"/>
    <n v="153.69999999999999"/>
    <n v="105"/>
    <n v="26.13"/>
    <n v="188.6"/>
    <n v="87"/>
    <n v="16.03"/>
    <n v="200.8"/>
    <n v="95"/>
    <n v="9.0399999999999991"/>
    <n v="10.7"/>
    <n v="2"/>
    <n v="2.89"/>
    <x v="3"/>
    <x v="0"/>
  </r>
  <r>
    <x v="25"/>
    <n v="27"/>
    <x v="2"/>
    <x v="0"/>
    <s v="No"/>
    <n v="0"/>
    <n v="232.1"/>
    <n v="81"/>
    <n v="39.46"/>
    <n v="210.8"/>
    <n v="101"/>
    <n v="17.920000000000002"/>
    <n v="165.4"/>
    <n v="87"/>
    <n v="7.44"/>
    <n v="15"/>
    <n v="6"/>
    <n v="4.05"/>
    <x v="5"/>
    <x v="0"/>
  </r>
  <r>
    <x v="41"/>
    <n v="117"/>
    <x v="1"/>
    <x v="0"/>
    <s v="No"/>
    <n v="0"/>
    <n v="201.9"/>
    <n v="86"/>
    <n v="34.32"/>
    <n v="212.3"/>
    <n v="96"/>
    <n v="18.05"/>
    <n v="176.9"/>
    <n v="98"/>
    <n v="7.96"/>
    <n v="7.8"/>
    <n v="10"/>
    <n v="2.11"/>
    <x v="0"/>
    <x v="0"/>
  </r>
  <r>
    <x v="13"/>
    <n v="87"/>
    <x v="0"/>
    <x v="0"/>
    <s v="No"/>
    <n v="0"/>
    <n v="186.9"/>
    <n v="79"/>
    <n v="31.77"/>
    <n v="182.6"/>
    <n v="105"/>
    <n v="15.52"/>
    <n v="143.1"/>
    <n v="90"/>
    <n v="6.44"/>
    <n v="4.2"/>
    <n v="14"/>
    <n v="1.1299999999999999"/>
    <x v="0"/>
    <x v="0"/>
  </r>
  <r>
    <x v="34"/>
    <n v="129"/>
    <x v="2"/>
    <x v="0"/>
    <s v="Yes"/>
    <n v="27"/>
    <n v="196.6"/>
    <n v="89"/>
    <n v="33.42"/>
    <n v="180.6"/>
    <n v="95"/>
    <n v="15.35"/>
    <n v="245"/>
    <n v="83"/>
    <n v="11.03"/>
    <n v="6.6"/>
    <n v="5"/>
    <n v="1.78"/>
    <x v="0"/>
    <x v="0"/>
  </r>
  <r>
    <x v="9"/>
    <n v="142"/>
    <x v="2"/>
    <x v="0"/>
    <s v="No"/>
    <n v="0"/>
    <n v="232.1"/>
    <n v="102"/>
    <n v="39.46"/>
    <n v="168.2"/>
    <n v="110"/>
    <n v="14.3"/>
    <n v="197.3"/>
    <n v="120"/>
    <n v="8.8800000000000008"/>
    <n v="9.9"/>
    <n v="3"/>
    <n v="2.67"/>
    <x v="0"/>
    <x v="0"/>
  </r>
  <r>
    <x v="33"/>
    <n v="112"/>
    <x v="1"/>
    <x v="0"/>
    <s v="No"/>
    <n v="0"/>
    <n v="166"/>
    <n v="79"/>
    <n v="28.22"/>
    <n v="74.599999999999994"/>
    <n v="100"/>
    <n v="6.34"/>
    <n v="247.9"/>
    <n v="74"/>
    <n v="11.16"/>
    <n v="6.3"/>
    <n v="7"/>
    <n v="1.7"/>
    <x v="3"/>
    <x v="0"/>
  </r>
  <r>
    <x v="16"/>
    <n v="97"/>
    <x v="0"/>
    <x v="0"/>
    <s v="Yes"/>
    <n v="25"/>
    <n v="141"/>
    <n v="101"/>
    <n v="23.97"/>
    <n v="212"/>
    <n v="85"/>
    <n v="18.02"/>
    <n v="175.2"/>
    <n v="138"/>
    <n v="7.88"/>
    <n v="4.9000000000000004"/>
    <n v="2"/>
    <n v="1.32"/>
    <x v="4"/>
    <x v="0"/>
  </r>
  <r>
    <x v="30"/>
    <n v="101"/>
    <x v="1"/>
    <x v="0"/>
    <s v="No"/>
    <n v="0"/>
    <n v="231.3"/>
    <n v="87"/>
    <n v="39.32"/>
    <n v="224.7"/>
    <n v="88"/>
    <n v="19.100000000000001"/>
    <n v="214.6"/>
    <n v="69"/>
    <n v="9.66"/>
    <n v="7.2"/>
    <n v="7"/>
    <n v="1.94"/>
    <x v="0"/>
    <x v="0"/>
  </r>
  <r>
    <x v="30"/>
    <n v="127"/>
    <x v="1"/>
    <x v="0"/>
    <s v="Yes"/>
    <n v="24"/>
    <n v="154.80000000000001"/>
    <n v="69"/>
    <n v="26.32"/>
    <n v="177.2"/>
    <n v="105"/>
    <n v="15.06"/>
    <n v="207.6"/>
    <n v="102"/>
    <n v="9.34"/>
    <n v="9"/>
    <n v="4"/>
    <n v="2.4300000000000002"/>
    <x v="0"/>
    <x v="0"/>
  </r>
  <r>
    <x v="28"/>
    <n v="148"/>
    <x v="0"/>
    <x v="0"/>
    <s v="No"/>
    <n v="0"/>
    <n v="243"/>
    <n v="115"/>
    <n v="41.31"/>
    <n v="191.8"/>
    <n v="91"/>
    <n v="16.3"/>
    <n v="117.8"/>
    <n v="93"/>
    <n v="5.3"/>
    <n v="13.4"/>
    <n v="5"/>
    <n v="3.62"/>
    <x v="2"/>
    <x v="0"/>
  </r>
  <r>
    <x v="33"/>
    <n v="138"/>
    <x v="2"/>
    <x v="0"/>
    <s v="Yes"/>
    <n v="33"/>
    <n v="155.19999999999999"/>
    <n v="139"/>
    <n v="26.38"/>
    <n v="268.3"/>
    <n v="79"/>
    <n v="22.81"/>
    <n v="186.4"/>
    <n v="71"/>
    <n v="8.39"/>
    <n v="9.6999999999999993"/>
    <n v="4"/>
    <n v="2.62"/>
    <x v="4"/>
    <x v="0"/>
  </r>
  <r>
    <x v="18"/>
    <n v="84"/>
    <x v="1"/>
    <x v="0"/>
    <s v="No"/>
    <n v="0"/>
    <n v="289.10000000000002"/>
    <n v="100"/>
    <n v="49.15"/>
    <n v="233.8"/>
    <n v="97"/>
    <n v="19.87"/>
    <n v="223.5"/>
    <n v="148"/>
    <n v="10.06"/>
    <n v="12.7"/>
    <n v="2"/>
    <n v="3.43"/>
    <x v="2"/>
    <x v="1"/>
  </r>
  <r>
    <x v="43"/>
    <n v="133"/>
    <x v="2"/>
    <x v="0"/>
    <s v="No"/>
    <n v="0"/>
    <n v="295"/>
    <n v="141"/>
    <n v="50.15"/>
    <n v="223.6"/>
    <n v="101"/>
    <n v="19.010000000000002"/>
    <n v="229.4"/>
    <n v="109"/>
    <n v="10.32"/>
    <n v="12.9"/>
    <n v="4"/>
    <n v="3.48"/>
    <x v="2"/>
    <x v="1"/>
  </r>
  <r>
    <x v="2"/>
    <n v="120"/>
    <x v="2"/>
    <x v="0"/>
    <s v="Yes"/>
    <n v="27"/>
    <n v="128.5"/>
    <n v="115"/>
    <n v="21.85"/>
    <n v="163.69999999999999"/>
    <n v="91"/>
    <n v="13.91"/>
    <n v="242.9"/>
    <n v="121"/>
    <n v="10.93"/>
    <n v="0"/>
    <n v="0"/>
    <n v="0"/>
    <x v="0"/>
    <x v="0"/>
  </r>
  <r>
    <x v="9"/>
    <n v="87"/>
    <x v="1"/>
    <x v="0"/>
    <s v="No"/>
    <n v="0"/>
    <n v="238"/>
    <n v="97"/>
    <n v="40.46"/>
    <n v="164.5"/>
    <n v="97"/>
    <n v="13.98"/>
    <n v="282.5"/>
    <n v="132"/>
    <n v="12.71"/>
    <n v="10.6"/>
    <n v="6"/>
    <n v="2.86"/>
    <x v="2"/>
    <x v="0"/>
  </r>
  <r>
    <x v="5"/>
    <n v="99"/>
    <x v="2"/>
    <x v="0"/>
    <s v="No"/>
    <n v="0"/>
    <n v="238.4"/>
    <n v="96"/>
    <n v="40.53"/>
    <n v="246.5"/>
    <n v="130"/>
    <n v="20.95"/>
    <n v="198.4"/>
    <n v="117"/>
    <n v="8.93"/>
    <n v="12.4"/>
    <n v="4"/>
    <n v="3.35"/>
    <x v="4"/>
    <x v="0"/>
  </r>
  <r>
    <x v="16"/>
    <n v="48"/>
    <x v="1"/>
    <x v="0"/>
    <s v="Yes"/>
    <n v="27"/>
    <n v="141.1"/>
    <n v="109"/>
    <n v="23.99"/>
    <n v="224.7"/>
    <n v="94"/>
    <n v="19.100000000000001"/>
    <n v="174.3"/>
    <n v="122"/>
    <n v="7.84"/>
    <n v="13.2"/>
    <n v="2"/>
    <n v="3.56"/>
    <x v="0"/>
    <x v="0"/>
  </r>
  <r>
    <x v="30"/>
    <n v="57"/>
    <x v="1"/>
    <x v="0"/>
    <s v="No"/>
    <n v="0"/>
    <n v="158.1"/>
    <n v="117"/>
    <n v="26.88"/>
    <n v="115.2"/>
    <n v="149"/>
    <n v="9.7899999999999991"/>
    <n v="182.4"/>
    <n v="92"/>
    <n v="8.2100000000000009"/>
    <n v="11.8"/>
    <n v="7"/>
    <n v="3.19"/>
    <x v="3"/>
    <x v="0"/>
  </r>
  <r>
    <x v="17"/>
    <n v="127"/>
    <x v="2"/>
    <x v="0"/>
    <s v="No"/>
    <n v="0"/>
    <n v="107.9"/>
    <n v="128"/>
    <n v="18.34"/>
    <n v="187"/>
    <n v="77"/>
    <n v="15.9"/>
    <n v="218.5"/>
    <n v="95"/>
    <n v="9.83"/>
    <n v="0"/>
    <n v="0"/>
    <n v="0"/>
    <x v="3"/>
    <x v="0"/>
  </r>
  <r>
    <x v="1"/>
    <n v="114"/>
    <x v="0"/>
    <x v="0"/>
    <s v="No"/>
    <n v="0"/>
    <n v="203.8"/>
    <n v="85"/>
    <n v="34.65"/>
    <n v="87.8"/>
    <n v="110"/>
    <n v="7.46"/>
    <n v="166.2"/>
    <n v="122"/>
    <n v="7.48"/>
    <n v="11.7"/>
    <n v="4"/>
    <n v="3.16"/>
    <x v="0"/>
    <x v="0"/>
  </r>
  <r>
    <x v="17"/>
    <n v="84"/>
    <x v="1"/>
    <x v="0"/>
    <s v="No"/>
    <n v="0"/>
    <n v="280"/>
    <n v="113"/>
    <n v="47.6"/>
    <n v="202.2"/>
    <n v="90"/>
    <n v="17.190000000000001"/>
    <n v="156.80000000000001"/>
    <n v="103"/>
    <n v="7.06"/>
    <n v="10.4"/>
    <n v="4"/>
    <n v="2.81"/>
    <x v="3"/>
    <x v="1"/>
  </r>
  <r>
    <x v="9"/>
    <n v="114"/>
    <x v="1"/>
    <x v="0"/>
    <s v="Yes"/>
    <n v="26"/>
    <n v="137.1"/>
    <n v="88"/>
    <n v="23.31"/>
    <n v="155.69999999999999"/>
    <n v="125"/>
    <n v="13.23"/>
    <n v="247.6"/>
    <n v="94"/>
    <n v="11.14"/>
    <n v="11.5"/>
    <n v="7"/>
    <n v="3.11"/>
    <x v="2"/>
    <x v="0"/>
  </r>
  <r>
    <x v="22"/>
    <n v="106"/>
    <x v="0"/>
    <x v="0"/>
    <s v="Yes"/>
    <n v="29"/>
    <n v="83.6"/>
    <n v="131"/>
    <n v="14.21"/>
    <n v="203.9"/>
    <n v="131"/>
    <n v="17.329999999999998"/>
    <n v="229.5"/>
    <n v="73"/>
    <n v="10.33"/>
    <n v="8.1"/>
    <n v="3"/>
    <n v="2.19"/>
    <x v="0"/>
    <x v="0"/>
  </r>
  <r>
    <x v="11"/>
    <n v="60"/>
    <x v="1"/>
    <x v="0"/>
    <s v="No"/>
    <n v="0"/>
    <n v="193.9"/>
    <n v="118"/>
    <n v="32.96"/>
    <n v="85"/>
    <n v="110"/>
    <n v="7.23"/>
    <n v="210.1"/>
    <n v="134"/>
    <n v="9.4499999999999993"/>
    <n v="13.2"/>
    <n v="8"/>
    <n v="3.56"/>
    <x v="4"/>
    <x v="0"/>
  </r>
  <r>
    <x v="44"/>
    <n v="159"/>
    <x v="1"/>
    <x v="0"/>
    <s v="No"/>
    <n v="0"/>
    <n v="169.8"/>
    <n v="114"/>
    <n v="28.87"/>
    <n v="197.7"/>
    <n v="105"/>
    <n v="16.8"/>
    <n v="193.7"/>
    <n v="82"/>
    <n v="8.7200000000000006"/>
    <n v="11.6"/>
    <n v="4"/>
    <n v="3.13"/>
    <x v="0"/>
    <x v="0"/>
  </r>
  <r>
    <x v="34"/>
    <n v="184"/>
    <x v="2"/>
    <x v="1"/>
    <s v="No"/>
    <n v="0"/>
    <n v="213.8"/>
    <n v="105"/>
    <n v="36.35"/>
    <n v="159.6"/>
    <n v="84"/>
    <n v="13.57"/>
    <n v="139.19999999999999"/>
    <n v="137"/>
    <n v="6.26"/>
    <n v="5"/>
    <n v="10"/>
    <n v="1.35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E9301-7EAF-44E8-958C-7A2F45A221AD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5:G8" firstHeaderRow="1" firstDataRow="1" firstDataCol="1"/>
  <pivotFields count="20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day minutes" fld="6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18B2B-33FC-48F4-BB89-439F5F4101F9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D56" firstHeaderRow="1" firstDataRow="2" firstDataCol="1"/>
  <pivotFields count="20">
    <pivotField axis="axisRow" dataField="1" showAll="0">
      <items count="52">
        <item x="5"/>
        <item x="22"/>
        <item x="47"/>
        <item x="16"/>
        <item x="17"/>
        <item x="15"/>
        <item x="34"/>
        <item x="39"/>
        <item x="36"/>
        <item x="29"/>
        <item x="50"/>
        <item x="4"/>
        <item x="49"/>
        <item x="7"/>
        <item x="41"/>
        <item x="1"/>
        <item x="30"/>
        <item x="14"/>
        <item x="0"/>
        <item x="13"/>
        <item x="43"/>
        <item x="40"/>
        <item x="6"/>
        <item x="10"/>
        <item x="21"/>
        <item x="27"/>
        <item x="12"/>
        <item x="31"/>
        <item x="46"/>
        <item x="19"/>
        <item x="23"/>
        <item x="42"/>
        <item x="24"/>
        <item x="38"/>
        <item x="2"/>
        <item x="20"/>
        <item x="33"/>
        <item x="25"/>
        <item x="45"/>
        <item x="35"/>
        <item x="3"/>
        <item x="32"/>
        <item x="48"/>
        <item x="26"/>
        <item x="37"/>
        <item x="8"/>
        <item x="11"/>
        <item x="18"/>
        <item x="9"/>
        <item x="44"/>
        <item x="2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State" fld="0" subtotal="count" baseField="0" baseItem="0"/>
  </dataFields>
  <chartFormats count="2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4DA23-3940-4241-973A-B6A5610819D9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5:L16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0"/>
        <item x="2"/>
        <item x="4"/>
        <item x="1"/>
        <item x="5"/>
        <item x="6"/>
        <item x="8"/>
        <item x="7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State" fld="0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8"/>
  <sheetViews>
    <sheetView workbookViewId="0">
      <selection activeCell="E15" sqref="E15"/>
    </sheetView>
  </sheetViews>
  <sheetFormatPr defaultRowHeight="14.45"/>
  <cols>
    <col min="2" max="2" width="14.28515625" customWidth="1"/>
    <col min="3" max="3" width="13.28515625" customWidth="1"/>
    <col min="4" max="4" width="20.28515625" customWidth="1"/>
    <col min="5" max="5" width="18.7109375" customWidth="1"/>
    <col min="6" max="6" width="21.42578125" customWidth="1"/>
    <col min="7" max="7" width="16.7109375" customWidth="1"/>
    <col min="8" max="8" width="14.140625" customWidth="1"/>
    <col min="9" max="9" width="15.28515625" customWidth="1"/>
    <col min="10" max="10" width="18.42578125" customWidth="1"/>
    <col min="11" max="11" width="13.85546875" customWidth="1"/>
    <col min="12" max="12" width="16.7109375" customWidth="1"/>
    <col min="13" max="13" width="19.42578125" customWidth="1"/>
    <col min="14" max="14" width="17.85546875" customWidth="1"/>
    <col min="15" max="15" width="17.7109375" customWidth="1"/>
    <col min="16" max="16" width="16" customWidth="1"/>
    <col min="17" max="18" width="14.7109375" customWidth="1"/>
    <col min="19" max="19" width="22.85546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</row>
    <row r="3" spans="1:20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</row>
    <row r="4" spans="1:20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</row>
    <row r="5" spans="1:20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</row>
    <row r="6" spans="1:20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</row>
    <row r="7" spans="1:20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</row>
    <row r="8" spans="1:20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</row>
    <row r="9" spans="1:20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</row>
    <row r="10" spans="1:20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</row>
    <row r="11" spans="1:20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</row>
    <row r="12" spans="1:20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</row>
    <row r="13" spans="1:20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</row>
    <row r="14" spans="1:20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</row>
    <row r="15" spans="1:20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</row>
    <row r="16" spans="1:20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</row>
    <row r="17" spans="1:20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</row>
    <row r="18" spans="1:20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</row>
    <row r="19" spans="1:20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</row>
    <row r="20" spans="1:20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</row>
    <row r="21" spans="1:20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</row>
    <row r="22" spans="1:20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</row>
    <row r="23" spans="1:20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</row>
    <row r="24" spans="1:20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</row>
    <row r="25" spans="1:20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</row>
    <row r="26" spans="1:20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</row>
    <row r="27" spans="1:20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</row>
    <row r="28" spans="1:20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</row>
    <row r="29" spans="1:20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</row>
    <row r="30" spans="1:20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</row>
    <row r="31" spans="1:20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</row>
    <row r="32" spans="1:20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</row>
    <row r="33" spans="1:20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</row>
    <row r="34" spans="1:20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</row>
    <row r="35" spans="1:20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</row>
    <row r="36" spans="1:20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</row>
    <row r="37" spans="1:20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</row>
    <row r="38" spans="1:20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</row>
    <row r="39" spans="1:20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</row>
    <row r="40" spans="1:20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</row>
    <row r="41" spans="1:20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</row>
    <row r="42" spans="1:20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</row>
    <row r="43" spans="1:20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</row>
    <row r="44" spans="1:20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</row>
    <row r="45" spans="1:20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</row>
    <row r="46" spans="1:20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</row>
    <row r="47" spans="1:20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</row>
    <row r="48" spans="1:20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</row>
    <row r="49" spans="1:20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</row>
    <row r="50" spans="1:20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</row>
    <row r="51" spans="1:20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</row>
    <row r="52" spans="1:20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</row>
    <row r="53" spans="1:20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</row>
    <row r="54" spans="1:20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</row>
    <row r="55" spans="1:20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</row>
    <row r="56" spans="1:20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</row>
    <row r="57" spans="1:20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</row>
    <row r="58" spans="1:20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</row>
    <row r="59" spans="1:20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</row>
    <row r="60" spans="1:20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</row>
    <row r="61" spans="1:20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</row>
    <row r="62" spans="1:20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</row>
    <row r="63" spans="1:20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</row>
    <row r="64" spans="1:20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</row>
    <row r="65" spans="1:20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</row>
    <row r="66" spans="1:20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</row>
    <row r="67" spans="1:20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</row>
    <row r="68" spans="1:20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</row>
    <row r="69" spans="1:20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</row>
    <row r="70" spans="1:20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</row>
    <row r="71" spans="1:20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</row>
    <row r="72" spans="1:20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</row>
    <row r="73" spans="1:20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</row>
    <row r="74" spans="1:20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</row>
    <row r="75" spans="1:20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</row>
    <row r="76" spans="1:20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</row>
    <row r="77" spans="1:20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</row>
    <row r="78" spans="1:20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</row>
    <row r="79" spans="1:20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</row>
    <row r="80" spans="1:20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</row>
    <row r="81" spans="1:20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</row>
    <row r="82" spans="1:20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</row>
    <row r="83" spans="1:20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</row>
    <row r="84" spans="1:20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</row>
    <row r="85" spans="1:20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</row>
    <row r="86" spans="1:20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</row>
    <row r="87" spans="1:20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</row>
    <row r="88" spans="1:20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</row>
    <row r="89" spans="1:20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</row>
    <row r="90" spans="1:20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</row>
    <row r="91" spans="1:20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</row>
    <row r="92" spans="1:20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</row>
    <row r="93" spans="1:20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</row>
    <row r="94" spans="1:20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</row>
    <row r="95" spans="1:20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</row>
    <row r="96" spans="1:20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</row>
    <row r="97" spans="1:20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</row>
    <row r="98" spans="1:20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</row>
    <row r="99" spans="1:20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</row>
    <row r="100" spans="1:20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</row>
    <row r="101" spans="1:20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</row>
    <row r="102" spans="1:20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</row>
    <row r="103" spans="1:20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</row>
    <row r="104" spans="1:20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</row>
    <row r="105" spans="1:20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</row>
    <row r="106" spans="1:20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</row>
    <row r="107" spans="1:20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</row>
    <row r="108" spans="1:20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</row>
    <row r="109" spans="1:20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</row>
    <row r="110" spans="1:20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</row>
    <row r="111" spans="1:20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</row>
    <row r="112" spans="1:20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</row>
    <row r="113" spans="1:20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</row>
    <row r="114" spans="1:20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</row>
    <row r="115" spans="1:20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</row>
    <row r="116" spans="1:20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</row>
    <row r="117" spans="1:20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</row>
    <row r="118" spans="1:20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</row>
    <row r="119" spans="1:20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</row>
    <row r="120" spans="1:20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</row>
    <row r="121" spans="1:20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</row>
    <row r="122" spans="1:20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</row>
    <row r="123" spans="1:20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</row>
    <row r="124" spans="1:20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</row>
    <row r="125" spans="1:20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</row>
    <row r="126" spans="1:20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</row>
    <row r="127" spans="1:20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</row>
    <row r="128" spans="1:20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</row>
    <row r="129" spans="1:20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</row>
    <row r="130" spans="1:20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</row>
    <row r="131" spans="1:20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</row>
    <row r="132" spans="1:20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</row>
    <row r="133" spans="1:20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</row>
    <row r="134" spans="1:20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</row>
    <row r="135" spans="1:20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</row>
    <row r="136" spans="1:20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</row>
    <row r="137" spans="1:20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</row>
    <row r="138" spans="1:20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</row>
    <row r="139" spans="1:20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</row>
    <row r="140" spans="1:20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</row>
    <row r="141" spans="1:20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</row>
    <row r="142" spans="1:20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</row>
    <row r="143" spans="1:20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</row>
    <row r="144" spans="1:20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</row>
    <row r="145" spans="1:20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</row>
    <row r="146" spans="1:20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</row>
    <row r="147" spans="1:20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</row>
    <row r="148" spans="1:20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</row>
    <row r="149" spans="1:20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</row>
    <row r="150" spans="1:20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</row>
    <row r="151" spans="1:20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</row>
    <row r="152" spans="1:20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</row>
    <row r="153" spans="1:20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</row>
    <row r="154" spans="1:20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</row>
    <row r="155" spans="1:20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</row>
    <row r="156" spans="1:20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</row>
    <row r="157" spans="1:20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</row>
    <row r="158" spans="1:20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</row>
    <row r="159" spans="1:20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</row>
    <row r="160" spans="1:20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</row>
    <row r="161" spans="1:20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</row>
    <row r="162" spans="1:20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</row>
    <row r="163" spans="1:20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</row>
    <row r="164" spans="1:20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</row>
    <row r="165" spans="1:20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</row>
    <row r="166" spans="1:20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</row>
    <row r="167" spans="1:20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</row>
    <row r="168" spans="1:20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</row>
    <row r="169" spans="1:20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</row>
    <row r="170" spans="1:20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</row>
    <row r="171" spans="1:20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</row>
    <row r="172" spans="1:20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</row>
    <row r="173" spans="1:20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</row>
    <row r="174" spans="1:20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</row>
    <row r="175" spans="1:20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</row>
    <row r="176" spans="1:20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</row>
    <row r="177" spans="1:20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</row>
    <row r="178" spans="1:20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</row>
    <row r="179" spans="1:20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</row>
    <row r="180" spans="1:20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</row>
    <row r="181" spans="1:20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</row>
    <row r="182" spans="1:20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</row>
    <row r="183" spans="1:20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</row>
    <row r="184" spans="1:20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</row>
    <row r="185" spans="1:20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</row>
    <row r="186" spans="1:20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</row>
    <row r="187" spans="1:20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</row>
    <row r="188" spans="1:20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</row>
    <row r="189" spans="1:20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</row>
    <row r="190" spans="1:20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</row>
    <row r="191" spans="1:20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</row>
    <row r="192" spans="1:20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</row>
    <row r="193" spans="1:20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</row>
    <row r="194" spans="1:20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</row>
    <row r="195" spans="1:20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</row>
    <row r="196" spans="1:20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</row>
    <row r="197" spans="1:20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</row>
    <row r="198" spans="1:20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</row>
    <row r="199" spans="1:20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</row>
    <row r="200" spans="1:20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</row>
    <row r="201" spans="1:20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</row>
    <row r="202" spans="1:20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</row>
    <row r="203" spans="1:20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</row>
    <row r="204" spans="1:20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</row>
    <row r="205" spans="1:20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</row>
    <row r="206" spans="1:20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</row>
    <row r="207" spans="1:20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</row>
    <row r="208" spans="1:20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</row>
    <row r="209" spans="1:20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</row>
    <row r="210" spans="1:20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</row>
    <row r="211" spans="1:20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</row>
    <row r="212" spans="1:20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</row>
    <row r="213" spans="1:20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</row>
    <row r="214" spans="1:20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</row>
    <row r="215" spans="1:20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</row>
    <row r="216" spans="1:20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</row>
    <row r="217" spans="1:20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</row>
    <row r="218" spans="1:20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</row>
    <row r="219" spans="1:20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</row>
    <row r="220" spans="1:20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</row>
    <row r="221" spans="1:20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</row>
    <row r="222" spans="1:20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</row>
    <row r="223" spans="1:20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</row>
    <row r="224" spans="1:20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</row>
    <row r="225" spans="1:20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</row>
    <row r="226" spans="1:20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</row>
    <row r="227" spans="1:20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</row>
    <row r="228" spans="1:20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</row>
    <row r="229" spans="1:20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</row>
    <row r="230" spans="1:20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</row>
    <row r="231" spans="1:20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</row>
    <row r="232" spans="1:20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</row>
    <row r="233" spans="1:20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</row>
    <row r="234" spans="1:20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</row>
    <row r="235" spans="1:20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</row>
    <row r="236" spans="1:20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</row>
    <row r="237" spans="1:20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</row>
    <row r="238" spans="1:20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</row>
    <row r="239" spans="1:20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</row>
    <row r="240" spans="1:20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</row>
    <row r="241" spans="1:20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</row>
    <row r="242" spans="1:20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</row>
    <row r="243" spans="1:20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</row>
    <row r="244" spans="1:20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</row>
    <row r="245" spans="1:20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</row>
    <row r="246" spans="1:20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</row>
    <row r="247" spans="1:20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</row>
    <row r="248" spans="1:20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</row>
    <row r="249" spans="1:20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</row>
    <row r="250" spans="1:20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</row>
    <row r="251" spans="1:20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</row>
    <row r="252" spans="1:20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</row>
    <row r="253" spans="1:20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</row>
    <row r="254" spans="1:20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</row>
    <row r="255" spans="1:20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</row>
    <row r="256" spans="1:20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</row>
    <row r="257" spans="1:20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</row>
    <row r="258" spans="1:20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</row>
    <row r="259" spans="1:20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</row>
    <row r="260" spans="1:20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</row>
    <row r="261" spans="1:20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</row>
    <row r="262" spans="1:20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</row>
    <row r="263" spans="1:20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</row>
    <row r="264" spans="1:20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</row>
    <row r="265" spans="1:20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</row>
    <row r="266" spans="1:20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</row>
    <row r="267" spans="1:20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</row>
    <row r="268" spans="1:20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</row>
    <row r="269" spans="1:20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</row>
    <row r="270" spans="1:20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</row>
    <row r="271" spans="1:20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</row>
    <row r="272" spans="1:20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</row>
    <row r="273" spans="1:20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</row>
    <row r="274" spans="1:20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</row>
    <row r="275" spans="1:20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</row>
    <row r="276" spans="1:20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</row>
    <row r="277" spans="1:20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</row>
    <row r="278" spans="1:20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</row>
    <row r="279" spans="1:20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</row>
    <row r="280" spans="1:20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</row>
    <row r="281" spans="1:20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</row>
    <row r="282" spans="1:20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</row>
    <row r="283" spans="1:20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</row>
    <row r="284" spans="1:20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</row>
    <row r="285" spans="1:20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</row>
    <row r="286" spans="1:20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</row>
    <row r="287" spans="1:20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</row>
    <row r="288" spans="1:20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</row>
    <row r="289" spans="1:20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</row>
    <row r="290" spans="1:20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</row>
    <row r="291" spans="1:20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</row>
    <row r="292" spans="1:20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</row>
    <row r="293" spans="1:20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</row>
    <row r="294" spans="1:20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</row>
    <row r="295" spans="1:20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</row>
    <row r="296" spans="1:20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</row>
    <row r="297" spans="1:20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</row>
    <row r="298" spans="1:20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</row>
    <row r="299" spans="1:20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</row>
    <row r="300" spans="1:20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</row>
    <row r="301" spans="1:20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</row>
    <row r="302" spans="1:20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</row>
    <row r="303" spans="1:20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</row>
    <row r="304" spans="1:20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</row>
    <row r="305" spans="1:20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</row>
    <row r="306" spans="1:20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</row>
    <row r="307" spans="1:20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</row>
    <row r="308" spans="1:20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</row>
    <row r="309" spans="1:20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</row>
    <row r="310" spans="1:20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</row>
    <row r="311" spans="1:20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</row>
    <row r="312" spans="1:20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</row>
    <row r="313" spans="1:20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</row>
    <row r="314" spans="1:20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</row>
    <row r="315" spans="1:20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</row>
    <row r="316" spans="1:20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</row>
    <row r="317" spans="1:20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</row>
    <row r="318" spans="1:20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</row>
    <row r="319" spans="1:20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</row>
    <row r="320" spans="1:20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</row>
    <row r="321" spans="1:20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</row>
    <row r="322" spans="1:20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</row>
    <row r="323" spans="1:20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</row>
    <row r="324" spans="1:20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</row>
    <row r="325" spans="1:20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</row>
    <row r="326" spans="1:20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</row>
    <row r="327" spans="1:20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</row>
    <row r="328" spans="1:20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</row>
    <row r="329" spans="1:20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</row>
    <row r="330" spans="1:20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</row>
    <row r="331" spans="1:20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</row>
    <row r="332" spans="1:20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</row>
    <row r="333" spans="1:20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</row>
    <row r="334" spans="1:20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</row>
    <row r="335" spans="1:20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</row>
    <row r="336" spans="1:20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</row>
    <row r="337" spans="1:20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</row>
    <row r="338" spans="1:20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</row>
    <row r="339" spans="1:20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</row>
    <row r="340" spans="1:20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</row>
    <row r="341" spans="1:20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</row>
    <row r="342" spans="1:20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</row>
    <row r="343" spans="1:20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</row>
    <row r="344" spans="1:20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</row>
    <row r="345" spans="1:20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</row>
    <row r="346" spans="1:20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</row>
    <row r="347" spans="1:20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</row>
    <row r="348" spans="1:20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</row>
    <row r="349" spans="1:20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</row>
    <row r="350" spans="1:20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</row>
    <row r="351" spans="1:20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</row>
    <row r="352" spans="1:20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</row>
    <row r="353" spans="1:20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</row>
    <row r="354" spans="1:20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</row>
    <row r="355" spans="1:20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</row>
    <row r="356" spans="1:20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</row>
    <row r="357" spans="1:20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</row>
    <row r="358" spans="1:20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</row>
    <row r="359" spans="1:20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</row>
    <row r="360" spans="1:20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</row>
    <row r="361" spans="1:20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</row>
    <row r="362" spans="1:20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</row>
    <row r="363" spans="1:20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</row>
    <row r="364" spans="1:20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</row>
    <row r="365" spans="1:20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</row>
    <row r="366" spans="1:20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</row>
    <row r="367" spans="1:20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</row>
    <row r="368" spans="1:20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</row>
    <row r="369" spans="1:20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</row>
    <row r="370" spans="1:20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</row>
    <row r="371" spans="1:20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</row>
    <row r="372" spans="1:20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</row>
    <row r="373" spans="1:20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</row>
    <row r="374" spans="1:20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</row>
    <row r="375" spans="1:20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</row>
    <row r="376" spans="1:20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</row>
    <row r="377" spans="1:20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</row>
    <row r="378" spans="1:20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</row>
    <row r="379" spans="1:20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</row>
    <row r="380" spans="1:20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</row>
    <row r="381" spans="1:20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</row>
    <row r="382" spans="1:20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</row>
    <row r="383" spans="1:20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</row>
    <row r="384" spans="1:20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</row>
    <row r="385" spans="1:20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</row>
    <row r="386" spans="1:20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</row>
    <row r="387" spans="1:20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</row>
    <row r="388" spans="1:20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</row>
    <row r="389" spans="1:20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</row>
    <row r="390" spans="1:20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</row>
    <row r="391" spans="1:20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</row>
    <row r="392" spans="1:20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</row>
    <row r="393" spans="1:20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</row>
    <row r="394" spans="1:20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</row>
    <row r="395" spans="1:20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</row>
    <row r="396" spans="1:20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</row>
    <row r="397" spans="1:20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</row>
    <row r="398" spans="1:20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</row>
    <row r="399" spans="1:20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</row>
    <row r="400" spans="1:20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</row>
    <row r="401" spans="1:20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</row>
    <row r="402" spans="1:20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</row>
    <row r="403" spans="1:20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</row>
    <row r="404" spans="1:20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</row>
    <row r="405" spans="1:20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</row>
    <row r="406" spans="1:20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</row>
    <row r="407" spans="1:20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</row>
    <row r="408" spans="1:20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</row>
    <row r="409" spans="1:20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</row>
    <row r="410" spans="1:20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</row>
    <row r="411" spans="1:20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</row>
    <row r="412" spans="1:20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</row>
    <row r="413" spans="1:20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</row>
    <row r="414" spans="1:20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</row>
    <row r="415" spans="1:20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</row>
    <row r="416" spans="1:20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</row>
    <row r="417" spans="1:20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</row>
    <row r="418" spans="1:20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</row>
    <row r="419" spans="1:20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</row>
    <row r="420" spans="1:20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</row>
    <row r="421" spans="1:20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</row>
    <row r="422" spans="1:20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</row>
    <row r="423" spans="1:20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</row>
    <row r="424" spans="1:20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</row>
    <row r="425" spans="1:20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</row>
    <row r="426" spans="1:20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</row>
    <row r="427" spans="1:20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</row>
    <row r="428" spans="1:20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</row>
    <row r="429" spans="1:20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</row>
    <row r="430" spans="1:20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</row>
    <row r="431" spans="1:20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</row>
    <row r="432" spans="1:20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</row>
    <row r="433" spans="1:20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</row>
    <row r="434" spans="1:20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</row>
    <row r="435" spans="1:20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</row>
    <row r="436" spans="1:20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</row>
    <row r="437" spans="1:20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</row>
    <row r="438" spans="1:20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</row>
    <row r="439" spans="1:20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</row>
    <row r="440" spans="1:20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</row>
    <row r="441" spans="1:20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</row>
    <row r="442" spans="1:20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</row>
    <row r="443" spans="1:20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</row>
    <row r="444" spans="1:20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</row>
    <row r="445" spans="1:20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</row>
    <row r="446" spans="1:20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</row>
    <row r="447" spans="1:20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</row>
    <row r="448" spans="1:20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</row>
    <row r="449" spans="1:20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</row>
    <row r="450" spans="1:20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</row>
    <row r="451" spans="1:20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</row>
    <row r="452" spans="1:20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</row>
    <row r="453" spans="1:20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</row>
    <row r="454" spans="1:20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</row>
    <row r="455" spans="1:20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</row>
    <row r="456" spans="1:20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</row>
    <row r="457" spans="1:20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</row>
    <row r="458" spans="1:20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</row>
    <row r="459" spans="1:20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</row>
    <row r="460" spans="1:20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</row>
    <row r="461" spans="1:20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</row>
    <row r="462" spans="1:20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</row>
    <row r="463" spans="1:20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</row>
    <row r="464" spans="1:20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</row>
    <row r="465" spans="1:20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</row>
    <row r="466" spans="1:20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</row>
    <row r="467" spans="1:20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</row>
    <row r="468" spans="1:20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</row>
    <row r="469" spans="1:20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</row>
    <row r="470" spans="1:20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</row>
    <row r="471" spans="1:20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</row>
    <row r="472" spans="1:20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</row>
    <row r="473" spans="1:20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</row>
    <row r="474" spans="1:20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</row>
    <row r="475" spans="1:20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</row>
    <row r="476" spans="1:20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</row>
    <row r="477" spans="1:20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</row>
    <row r="478" spans="1:20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</row>
    <row r="479" spans="1:20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</row>
    <row r="480" spans="1:20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</row>
    <row r="481" spans="1:20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</row>
    <row r="482" spans="1:20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</row>
    <row r="483" spans="1:20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</row>
    <row r="484" spans="1:20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</row>
    <row r="485" spans="1:20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</row>
    <row r="486" spans="1:20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</row>
    <row r="487" spans="1:20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</row>
    <row r="488" spans="1:20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</row>
    <row r="489" spans="1:20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</row>
    <row r="490" spans="1:20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</row>
    <row r="491" spans="1:20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</row>
    <row r="492" spans="1:20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</row>
    <row r="493" spans="1:20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</row>
    <row r="494" spans="1:20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</row>
    <row r="495" spans="1:20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</row>
    <row r="496" spans="1:20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</row>
    <row r="497" spans="1:20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</row>
    <row r="498" spans="1:20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</row>
    <row r="499" spans="1:20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</row>
    <row r="500" spans="1:20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</row>
    <row r="501" spans="1:20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</row>
    <row r="502" spans="1:20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</row>
    <row r="503" spans="1:20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</row>
    <row r="504" spans="1:20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</row>
    <row r="505" spans="1:20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</row>
    <row r="506" spans="1:20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</row>
    <row r="507" spans="1:20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</row>
    <row r="508" spans="1:20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</row>
    <row r="509" spans="1:20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</row>
    <row r="510" spans="1:20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</row>
    <row r="511" spans="1:20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</row>
    <row r="512" spans="1:20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</row>
    <row r="513" spans="1:20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</row>
    <row r="514" spans="1:20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</row>
    <row r="515" spans="1:20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</row>
    <row r="516" spans="1:20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</row>
    <row r="517" spans="1:20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</row>
    <row r="518" spans="1:20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</row>
    <row r="519" spans="1:20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</row>
    <row r="520" spans="1:20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</row>
    <row r="521" spans="1:20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</row>
    <row r="522" spans="1:20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</row>
    <row r="523" spans="1:20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</row>
    <row r="524" spans="1:20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</row>
    <row r="525" spans="1:20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</row>
    <row r="526" spans="1:20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</row>
    <row r="527" spans="1:20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</row>
    <row r="528" spans="1:20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</row>
    <row r="529" spans="1:20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</row>
    <row r="530" spans="1:20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</row>
    <row r="531" spans="1:20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</row>
    <row r="532" spans="1:20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</row>
    <row r="533" spans="1:20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</row>
    <row r="534" spans="1:20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</row>
    <row r="535" spans="1:20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</row>
    <row r="536" spans="1:20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</row>
    <row r="537" spans="1:20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</row>
    <row r="538" spans="1:20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</row>
    <row r="539" spans="1:20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</row>
    <row r="540" spans="1:20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</row>
    <row r="541" spans="1:20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</row>
    <row r="542" spans="1:20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</row>
    <row r="543" spans="1:20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</row>
    <row r="544" spans="1:20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</row>
    <row r="545" spans="1:20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</row>
    <row r="546" spans="1:20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</row>
    <row r="547" spans="1:20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</row>
    <row r="548" spans="1:20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</row>
    <row r="549" spans="1:20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</row>
    <row r="550" spans="1:20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</row>
    <row r="551" spans="1:20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</row>
    <row r="552" spans="1:20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</row>
    <row r="553" spans="1:20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</row>
    <row r="554" spans="1:20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</row>
    <row r="555" spans="1:20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</row>
    <row r="556" spans="1:20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</row>
    <row r="557" spans="1:20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</row>
    <row r="558" spans="1:20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</row>
    <row r="559" spans="1:20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</row>
    <row r="560" spans="1:20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</row>
    <row r="561" spans="1:20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</row>
    <row r="562" spans="1:20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</row>
    <row r="563" spans="1:20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</row>
    <row r="564" spans="1:20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</row>
    <row r="565" spans="1:20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</row>
    <row r="566" spans="1:20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</row>
    <row r="567" spans="1:20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</row>
    <row r="568" spans="1:20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</row>
    <row r="569" spans="1:20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</row>
    <row r="570" spans="1:20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</row>
    <row r="571" spans="1:20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</row>
    <row r="572" spans="1:20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</row>
    <row r="573" spans="1:20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</row>
    <row r="574" spans="1:20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</row>
    <row r="575" spans="1:20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</row>
    <row r="576" spans="1:20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</row>
    <row r="577" spans="1:20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</row>
    <row r="578" spans="1:20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</row>
    <row r="579" spans="1:20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</row>
    <row r="580" spans="1:20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</row>
    <row r="581" spans="1:20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</row>
    <row r="582" spans="1:20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</row>
    <row r="583" spans="1:20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</row>
    <row r="584" spans="1:20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</row>
    <row r="585" spans="1:20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</row>
    <row r="586" spans="1:20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</row>
    <row r="587" spans="1:20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</row>
    <row r="588" spans="1:20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</row>
    <row r="589" spans="1:20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</row>
    <row r="590" spans="1:20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</row>
    <row r="591" spans="1:20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</row>
    <row r="592" spans="1:20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</row>
    <row r="593" spans="1:20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</row>
    <row r="594" spans="1:20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</row>
    <row r="595" spans="1:20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</row>
    <row r="596" spans="1:20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</row>
    <row r="597" spans="1:20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</row>
    <row r="598" spans="1:20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</row>
    <row r="599" spans="1:20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</row>
    <row r="600" spans="1:20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</row>
    <row r="601" spans="1:20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</row>
    <row r="602" spans="1:20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</row>
    <row r="603" spans="1:20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</row>
    <row r="604" spans="1:20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</row>
    <row r="605" spans="1:20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</row>
    <row r="606" spans="1:20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</row>
    <row r="607" spans="1:20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</row>
    <row r="608" spans="1:20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</row>
    <row r="609" spans="1:20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</row>
    <row r="610" spans="1:20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</row>
    <row r="611" spans="1:20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</row>
    <row r="612" spans="1:20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</row>
    <row r="613" spans="1:20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</row>
    <row r="614" spans="1:20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</row>
    <row r="615" spans="1:20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</row>
    <row r="616" spans="1:20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</row>
    <row r="617" spans="1:20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</row>
    <row r="618" spans="1:20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</row>
    <row r="619" spans="1:20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</row>
    <row r="620" spans="1:20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</row>
    <row r="621" spans="1:20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</row>
    <row r="622" spans="1:20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</row>
    <row r="623" spans="1:20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</row>
    <row r="624" spans="1:20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</row>
    <row r="625" spans="1:20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</row>
    <row r="626" spans="1:20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</row>
    <row r="627" spans="1:20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</row>
    <row r="628" spans="1:20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</row>
    <row r="629" spans="1:20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</row>
    <row r="630" spans="1:20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</row>
    <row r="631" spans="1:20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</row>
    <row r="632" spans="1:20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</row>
    <row r="633" spans="1:20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</row>
    <row r="634" spans="1:20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</row>
    <row r="635" spans="1:20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</row>
    <row r="636" spans="1:20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</row>
    <row r="637" spans="1:20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</row>
    <row r="638" spans="1:20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</row>
    <row r="639" spans="1:20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</row>
    <row r="640" spans="1:20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</row>
    <row r="641" spans="1:20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</row>
    <row r="642" spans="1:20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</row>
    <row r="643" spans="1:20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</row>
    <row r="644" spans="1:20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</row>
    <row r="645" spans="1:20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</row>
    <row r="646" spans="1:20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</row>
    <row r="647" spans="1:20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</row>
    <row r="648" spans="1:20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</row>
    <row r="649" spans="1:20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</row>
    <row r="650" spans="1:20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</row>
    <row r="651" spans="1:20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</row>
    <row r="652" spans="1:20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</row>
    <row r="653" spans="1:20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</row>
    <row r="654" spans="1:20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</row>
    <row r="655" spans="1:20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</row>
    <row r="656" spans="1:20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</row>
    <row r="657" spans="1:20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</row>
    <row r="658" spans="1:20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</row>
    <row r="659" spans="1:20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</row>
    <row r="660" spans="1:20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</row>
    <row r="661" spans="1:20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</row>
    <row r="662" spans="1:20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</row>
    <row r="663" spans="1:20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</row>
    <row r="664" spans="1:20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</row>
    <row r="665" spans="1:20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</row>
    <row r="666" spans="1:20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</row>
    <row r="667" spans="1:20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</row>
    <row r="668" spans="1:20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68"/>
  <sheetViews>
    <sheetView workbookViewId="0">
      <selection activeCell="U3" sqref="U3"/>
    </sheetView>
  </sheetViews>
  <sheetFormatPr defaultRowHeight="14.45"/>
  <cols>
    <col min="2" max="2" width="16.28515625" customWidth="1"/>
    <col min="3" max="3" width="14" customWidth="1"/>
    <col min="4" max="4" width="16.85546875" customWidth="1"/>
    <col min="5" max="5" width="15.28515625" customWidth="1"/>
    <col min="6" max="6" width="21.7109375" customWidth="1"/>
    <col min="7" max="7" width="17.28515625" customWidth="1"/>
    <col min="8" max="8" width="14.7109375" customWidth="1"/>
    <col min="9" max="9" width="15.7109375" customWidth="1"/>
    <col min="10" max="10" width="18" customWidth="1"/>
    <col min="11" max="12" width="15.28515625" customWidth="1"/>
    <col min="13" max="13" width="18.28515625" customWidth="1"/>
    <col min="14" max="14" width="15.7109375" customWidth="1"/>
    <col min="15" max="15" width="17.42578125" customWidth="1"/>
    <col min="16" max="16" width="18.7109375" customWidth="1"/>
    <col min="17" max="17" width="13.5703125" customWidth="1"/>
    <col min="18" max="18" width="18.28515625" customWidth="1"/>
    <col min="19" max="19" width="19.85546875" customWidth="1"/>
    <col min="21" max="21" width="16.28515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73</v>
      </c>
    </row>
    <row r="2" spans="1:21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  <c r="U2" t="str">
        <f>TRIM(A2)</f>
        <v>LA</v>
      </c>
    </row>
    <row r="3" spans="1:21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  <c r="U3" t="s">
        <v>22</v>
      </c>
    </row>
    <row r="4" spans="1:21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  <c r="U4" t="s">
        <v>23</v>
      </c>
    </row>
    <row r="5" spans="1:21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  <c r="U5" t="s">
        <v>24</v>
      </c>
    </row>
    <row r="6" spans="1:21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  <c r="U6" t="s">
        <v>25</v>
      </c>
    </row>
    <row r="7" spans="1:21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  <c r="U7" t="str">
        <f>TRIM(A7)</f>
        <v>AK</v>
      </c>
    </row>
    <row r="8" spans="1:21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  <c r="U8" t="s">
        <v>28</v>
      </c>
    </row>
    <row r="9" spans="1:21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  <c r="U9" t="s">
        <v>29</v>
      </c>
    </row>
    <row r="10" spans="1:21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  <c r="U10" t="s">
        <v>30</v>
      </c>
    </row>
    <row r="11" spans="1:21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  <c r="U11" t="s">
        <v>31</v>
      </c>
    </row>
    <row r="12" spans="1:21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  <c r="U12" t="s">
        <v>32</v>
      </c>
    </row>
    <row r="13" spans="1:21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  <c r="U13" t="s">
        <v>25</v>
      </c>
    </row>
    <row r="14" spans="1:21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  <c r="U14" t="s">
        <v>32</v>
      </c>
    </row>
    <row r="15" spans="1:21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  <c r="U15" t="s">
        <v>33</v>
      </c>
    </row>
    <row r="16" spans="1:21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  <c r="U16" t="s">
        <v>20</v>
      </c>
    </row>
    <row r="17" spans="1:21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  <c r="U17" t="s">
        <v>34</v>
      </c>
    </row>
    <row r="18" spans="1:21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  <c r="U18" t="s">
        <v>29</v>
      </c>
    </row>
    <row r="19" spans="1:21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  <c r="U19" t="s">
        <v>35</v>
      </c>
    </row>
    <row r="20" spans="1:21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  <c r="U20" t="s">
        <v>36</v>
      </c>
    </row>
    <row r="21" spans="1:21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  <c r="U21" t="s">
        <v>28</v>
      </c>
    </row>
    <row r="22" spans="1:21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  <c r="U22" t="s">
        <v>37</v>
      </c>
    </row>
    <row r="23" spans="1:21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  <c r="U23" t="s">
        <v>38</v>
      </c>
    </row>
    <row r="24" spans="1:21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  <c r="U24" t="s">
        <v>29</v>
      </c>
    </row>
    <row r="25" spans="1:21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  <c r="U25" t="s">
        <v>39</v>
      </c>
    </row>
    <row r="26" spans="1:21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  <c r="U26" t="s">
        <v>40</v>
      </c>
    </row>
    <row r="27" spans="1:21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  <c r="U27" t="s">
        <v>20</v>
      </c>
    </row>
    <row r="28" spans="1:21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  <c r="U28" t="s">
        <v>41</v>
      </c>
    </row>
    <row r="29" spans="1:21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  <c r="U29" t="s">
        <v>42</v>
      </c>
    </row>
    <row r="30" spans="1:21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  <c r="U30" t="s">
        <v>43</v>
      </c>
    </row>
    <row r="31" spans="1:21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  <c r="U31" t="s">
        <v>44</v>
      </c>
    </row>
    <row r="32" spans="1:21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  <c r="U32" t="s">
        <v>45</v>
      </c>
    </row>
    <row r="33" spans="1:21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  <c r="U33" t="s">
        <v>46</v>
      </c>
    </row>
    <row r="34" spans="1:21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  <c r="U34" t="s">
        <v>47</v>
      </c>
    </row>
    <row r="35" spans="1:21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  <c r="U35" t="s">
        <v>28</v>
      </c>
    </row>
    <row r="36" spans="1:21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  <c r="U36" t="s">
        <v>38</v>
      </c>
    </row>
    <row r="37" spans="1:21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  <c r="U37" t="s">
        <v>48</v>
      </c>
    </row>
    <row r="38" spans="1:21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  <c r="U38" t="s">
        <v>22</v>
      </c>
    </row>
    <row r="39" spans="1:21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  <c r="U39" t="s">
        <v>20</v>
      </c>
    </row>
    <row r="40" spans="1:21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  <c r="U40" t="s">
        <v>49</v>
      </c>
    </row>
    <row r="41" spans="1:21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  <c r="U41" t="s">
        <v>22</v>
      </c>
    </row>
    <row r="42" spans="1:21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  <c r="U42" t="s">
        <v>36</v>
      </c>
    </row>
    <row r="43" spans="1:21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  <c r="U43" t="s">
        <v>32</v>
      </c>
    </row>
    <row r="44" spans="1:21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  <c r="U44" t="s">
        <v>50</v>
      </c>
    </row>
    <row r="45" spans="1:21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  <c r="U45" t="s">
        <v>38</v>
      </c>
    </row>
    <row r="46" spans="1:21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  <c r="U46" t="s">
        <v>46</v>
      </c>
    </row>
    <row r="47" spans="1:21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  <c r="U47" t="s">
        <v>28</v>
      </c>
    </row>
    <row r="48" spans="1:21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  <c r="U48" t="s">
        <v>51</v>
      </c>
    </row>
    <row r="49" spans="1:21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  <c r="U49" t="s">
        <v>52</v>
      </c>
    </row>
    <row r="50" spans="1:21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  <c r="U50" t="s">
        <v>24</v>
      </c>
    </row>
    <row r="51" spans="1:21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  <c r="U51" t="s">
        <v>53</v>
      </c>
    </row>
    <row r="52" spans="1:21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  <c r="U52" t="s">
        <v>43</v>
      </c>
    </row>
    <row r="53" spans="1:21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  <c r="U53" t="s">
        <v>40</v>
      </c>
    </row>
    <row r="54" spans="1:21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  <c r="U54" t="s">
        <v>54</v>
      </c>
    </row>
    <row r="55" spans="1:21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  <c r="U55" t="s">
        <v>34</v>
      </c>
    </row>
    <row r="56" spans="1:21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  <c r="U56" t="s">
        <v>32</v>
      </c>
    </row>
    <row r="57" spans="1:21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  <c r="U57" t="s">
        <v>54</v>
      </c>
    </row>
    <row r="58" spans="1:21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  <c r="U58" t="s">
        <v>55</v>
      </c>
    </row>
    <row r="59" spans="1:21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  <c r="U59" t="s">
        <v>56</v>
      </c>
    </row>
    <row r="60" spans="1:21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  <c r="U60" t="s">
        <v>56</v>
      </c>
    </row>
    <row r="61" spans="1:21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  <c r="U61" t="s">
        <v>32</v>
      </c>
    </row>
    <row r="62" spans="1:21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  <c r="U62" t="s">
        <v>51</v>
      </c>
    </row>
    <row r="63" spans="1:21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  <c r="U63" t="s">
        <v>57</v>
      </c>
    </row>
    <row r="64" spans="1:21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  <c r="U64" t="s">
        <v>22</v>
      </c>
    </row>
    <row r="65" spans="1:21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  <c r="U65" t="s">
        <v>44</v>
      </c>
    </row>
    <row r="66" spans="1:21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  <c r="U66" t="s">
        <v>47</v>
      </c>
    </row>
    <row r="67" spans="1:21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  <c r="U67" t="s">
        <v>49</v>
      </c>
    </row>
    <row r="68" spans="1:21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  <c r="U68" t="s">
        <v>39</v>
      </c>
    </row>
    <row r="69" spans="1:21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  <c r="U69" t="s">
        <v>58</v>
      </c>
    </row>
    <row r="70" spans="1:21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  <c r="U70" t="s">
        <v>49</v>
      </c>
    </row>
    <row r="71" spans="1:21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  <c r="U71" t="s">
        <v>53</v>
      </c>
    </row>
    <row r="72" spans="1:21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  <c r="U72" t="s">
        <v>54</v>
      </c>
    </row>
    <row r="73" spans="1:21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  <c r="U73" t="s">
        <v>45</v>
      </c>
    </row>
    <row r="74" spans="1:21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  <c r="U74" t="s">
        <v>35</v>
      </c>
    </row>
    <row r="75" spans="1:21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  <c r="U75" t="s">
        <v>48</v>
      </c>
    </row>
    <row r="76" spans="1:21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  <c r="U76" t="s">
        <v>47</v>
      </c>
    </row>
    <row r="77" spans="1:21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  <c r="U77" t="s">
        <v>59</v>
      </c>
    </row>
    <row r="78" spans="1:21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  <c r="U78" t="s">
        <v>60</v>
      </c>
    </row>
    <row r="79" spans="1:21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  <c r="U79" t="s">
        <v>41</v>
      </c>
    </row>
    <row r="80" spans="1:21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  <c r="U80" t="s">
        <v>38</v>
      </c>
    </row>
    <row r="81" spans="1:21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  <c r="U81" t="s">
        <v>61</v>
      </c>
    </row>
    <row r="82" spans="1:21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  <c r="U82" t="s">
        <v>35</v>
      </c>
    </row>
    <row r="83" spans="1:21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  <c r="U83" t="s">
        <v>38</v>
      </c>
    </row>
    <row r="84" spans="1:21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  <c r="U84" t="s">
        <v>28</v>
      </c>
    </row>
    <row r="85" spans="1:21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  <c r="U85" t="s">
        <v>48</v>
      </c>
    </row>
    <row r="86" spans="1:21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  <c r="U86" t="s">
        <v>29</v>
      </c>
    </row>
    <row r="87" spans="1:21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  <c r="U87" t="s">
        <v>44</v>
      </c>
    </row>
    <row r="88" spans="1:21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  <c r="U88" t="s">
        <v>54</v>
      </c>
    </row>
    <row r="89" spans="1:21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  <c r="U89" t="s">
        <v>20</v>
      </c>
    </row>
    <row r="90" spans="1:21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  <c r="U90" t="s">
        <v>38</v>
      </c>
    </row>
    <row r="91" spans="1:21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  <c r="U91" t="s">
        <v>57</v>
      </c>
    </row>
    <row r="92" spans="1:21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  <c r="U92" t="s">
        <v>42</v>
      </c>
    </row>
    <row r="93" spans="1:21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  <c r="U93" t="s">
        <v>38</v>
      </c>
    </row>
    <row r="94" spans="1:21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  <c r="U94" t="s">
        <v>28</v>
      </c>
    </row>
    <row r="95" spans="1:21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  <c r="U95" t="s">
        <v>60</v>
      </c>
    </row>
    <row r="96" spans="1:21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  <c r="U96" t="s">
        <v>35</v>
      </c>
    </row>
    <row r="97" spans="1:21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  <c r="U97" t="s">
        <v>22</v>
      </c>
    </row>
    <row r="98" spans="1:21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  <c r="U98" t="s">
        <v>44</v>
      </c>
    </row>
    <row r="99" spans="1:21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  <c r="U99" t="s">
        <v>57</v>
      </c>
    </row>
    <row r="100" spans="1:21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  <c r="U100" t="s">
        <v>62</v>
      </c>
    </row>
    <row r="101" spans="1:21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  <c r="U101" t="s">
        <v>54</v>
      </c>
    </row>
    <row r="102" spans="1:21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  <c r="U102" t="s">
        <v>43</v>
      </c>
    </row>
    <row r="103" spans="1:21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  <c r="U103" t="s">
        <v>55</v>
      </c>
    </row>
    <row r="104" spans="1:21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  <c r="U104" t="s">
        <v>63</v>
      </c>
    </row>
    <row r="105" spans="1:21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  <c r="U105" t="s">
        <v>64</v>
      </c>
    </row>
    <row r="106" spans="1:21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  <c r="U106" t="s">
        <v>20</v>
      </c>
    </row>
    <row r="107" spans="1:21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  <c r="U107" t="s">
        <v>47</v>
      </c>
    </row>
    <row r="108" spans="1:21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  <c r="U108" t="s">
        <v>57</v>
      </c>
    </row>
    <row r="109" spans="1:21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  <c r="U109" t="s">
        <v>53</v>
      </c>
    </row>
    <row r="110" spans="1:21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  <c r="U110" t="s">
        <v>65</v>
      </c>
    </row>
    <row r="111" spans="1:21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  <c r="U111" t="s">
        <v>31</v>
      </c>
    </row>
    <row r="112" spans="1:21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  <c r="U112" t="s">
        <v>33</v>
      </c>
    </row>
    <row r="113" spans="1:21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  <c r="U113" t="s">
        <v>23</v>
      </c>
    </row>
    <row r="114" spans="1:21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  <c r="U114" t="s">
        <v>33</v>
      </c>
    </row>
    <row r="115" spans="1:21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  <c r="U115" t="s">
        <v>38</v>
      </c>
    </row>
    <row r="116" spans="1:21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  <c r="U116" t="s">
        <v>66</v>
      </c>
    </row>
    <row r="117" spans="1:21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  <c r="U117" t="s">
        <v>55</v>
      </c>
    </row>
    <row r="118" spans="1:21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  <c r="U118" t="s">
        <v>31</v>
      </c>
    </row>
    <row r="119" spans="1:21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  <c r="U119" t="s">
        <v>67</v>
      </c>
    </row>
    <row r="120" spans="1:21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  <c r="U120" t="s">
        <v>23</v>
      </c>
    </row>
    <row r="121" spans="1:21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  <c r="U121" t="s">
        <v>46</v>
      </c>
    </row>
    <row r="122" spans="1:21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  <c r="U122" t="s">
        <v>53</v>
      </c>
    </row>
    <row r="123" spans="1:21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  <c r="U123" t="s">
        <v>50</v>
      </c>
    </row>
    <row r="124" spans="1:21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  <c r="U124" t="s">
        <v>67</v>
      </c>
    </row>
    <row r="125" spans="1:21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  <c r="U125" t="s">
        <v>60</v>
      </c>
    </row>
    <row r="126" spans="1:21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  <c r="U126" t="s">
        <v>40</v>
      </c>
    </row>
    <row r="127" spans="1:21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  <c r="U127" t="s">
        <v>51</v>
      </c>
    </row>
    <row r="128" spans="1:21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  <c r="U128" t="s">
        <v>62</v>
      </c>
    </row>
    <row r="129" spans="1:21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  <c r="U129" t="s">
        <v>20</v>
      </c>
    </row>
    <row r="130" spans="1:21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  <c r="U130" t="s">
        <v>52</v>
      </c>
    </row>
    <row r="131" spans="1:21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  <c r="U131" t="s">
        <v>68</v>
      </c>
    </row>
    <row r="132" spans="1:21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  <c r="U132" t="s">
        <v>66</v>
      </c>
    </row>
    <row r="133" spans="1:21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  <c r="U133" t="s">
        <v>69</v>
      </c>
    </row>
    <row r="134" spans="1:21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  <c r="U134" t="s">
        <v>39</v>
      </c>
    </row>
    <row r="135" spans="1:21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  <c r="U135" t="s">
        <v>32</v>
      </c>
    </row>
    <row r="136" spans="1:21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  <c r="U136" t="s">
        <v>34</v>
      </c>
    </row>
    <row r="137" spans="1:21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  <c r="U137" t="s">
        <v>54</v>
      </c>
    </row>
    <row r="138" spans="1:21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  <c r="U138" t="s">
        <v>34</v>
      </c>
    </row>
    <row r="139" spans="1:21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  <c r="U139" t="s">
        <v>66</v>
      </c>
    </row>
    <row r="140" spans="1:21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  <c r="U140" t="s">
        <v>56</v>
      </c>
    </row>
    <row r="141" spans="1:21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  <c r="U141" t="s">
        <v>58</v>
      </c>
    </row>
    <row r="142" spans="1:21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  <c r="U142" t="s">
        <v>20</v>
      </c>
    </row>
    <row r="143" spans="1:21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  <c r="U143" t="s">
        <v>52</v>
      </c>
    </row>
    <row r="144" spans="1:21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  <c r="U144" t="s">
        <v>66</v>
      </c>
    </row>
    <row r="145" spans="1:21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  <c r="U145" t="s">
        <v>68</v>
      </c>
    </row>
    <row r="146" spans="1:21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  <c r="U146" t="s">
        <v>26</v>
      </c>
    </row>
    <row r="147" spans="1:21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  <c r="U147" t="s">
        <v>62</v>
      </c>
    </row>
    <row r="148" spans="1:21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  <c r="U148" t="s">
        <v>32</v>
      </c>
    </row>
    <row r="149" spans="1:21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  <c r="U149" t="s">
        <v>52</v>
      </c>
    </row>
    <row r="150" spans="1:21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  <c r="U150" t="s">
        <v>64</v>
      </c>
    </row>
    <row r="151" spans="1:21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  <c r="U151" t="s">
        <v>31</v>
      </c>
    </row>
    <row r="152" spans="1:21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  <c r="U152" t="s">
        <v>69</v>
      </c>
    </row>
    <row r="153" spans="1:21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  <c r="U153" t="s">
        <v>40</v>
      </c>
    </row>
    <row r="154" spans="1:21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  <c r="U154" t="s">
        <v>29</v>
      </c>
    </row>
    <row r="155" spans="1:21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  <c r="U155" t="s">
        <v>30</v>
      </c>
    </row>
    <row r="156" spans="1:21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  <c r="U156" t="s">
        <v>66</v>
      </c>
    </row>
    <row r="157" spans="1:21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  <c r="U157" t="s">
        <v>59</v>
      </c>
    </row>
    <row r="158" spans="1:21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  <c r="U158" t="s">
        <v>64</v>
      </c>
    </row>
    <row r="159" spans="1:21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  <c r="U159" t="s">
        <v>49</v>
      </c>
    </row>
    <row r="160" spans="1:21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  <c r="U160" t="s">
        <v>62</v>
      </c>
    </row>
    <row r="161" spans="1:21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  <c r="U161" t="s">
        <v>46</v>
      </c>
    </row>
    <row r="162" spans="1:21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  <c r="U162" t="s">
        <v>48</v>
      </c>
    </row>
    <row r="163" spans="1:21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  <c r="U163" t="s">
        <v>20</v>
      </c>
    </row>
    <row r="164" spans="1:21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  <c r="U164" t="s">
        <v>70</v>
      </c>
    </row>
    <row r="165" spans="1:21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  <c r="U165" t="s">
        <v>31</v>
      </c>
    </row>
    <row r="166" spans="1:21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  <c r="U166" t="s">
        <v>34</v>
      </c>
    </row>
    <row r="167" spans="1:21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  <c r="U167" t="s">
        <v>68</v>
      </c>
    </row>
    <row r="168" spans="1:21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  <c r="U168" t="s">
        <v>31</v>
      </c>
    </row>
    <row r="169" spans="1:21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  <c r="U169" t="s">
        <v>43</v>
      </c>
    </row>
    <row r="170" spans="1:21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  <c r="U170" t="s">
        <v>38</v>
      </c>
    </row>
    <row r="171" spans="1:21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  <c r="U171" t="s">
        <v>33</v>
      </c>
    </row>
    <row r="172" spans="1:21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  <c r="U172" t="s">
        <v>30</v>
      </c>
    </row>
    <row r="173" spans="1:21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  <c r="U173" t="s">
        <v>41</v>
      </c>
    </row>
    <row r="174" spans="1:21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  <c r="U174" t="s">
        <v>40</v>
      </c>
    </row>
    <row r="175" spans="1:21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  <c r="U175" t="s">
        <v>46</v>
      </c>
    </row>
    <row r="176" spans="1:21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  <c r="U176" t="s">
        <v>51</v>
      </c>
    </row>
    <row r="177" spans="1:21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  <c r="U177" t="s">
        <v>24</v>
      </c>
    </row>
    <row r="178" spans="1:21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  <c r="U178" t="s">
        <v>22</v>
      </c>
    </row>
    <row r="179" spans="1:21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  <c r="U179" t="s">
        <v>51</v>
      </c>
    </row>
    <row r="180" spans="1:21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  <c r="U180" t="s">
        <v>68</v>
      </c>
    </row>
    <row r="181" spans="1:21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  <c r="U181" t="s">
        <v>35</v>
      </c>
    </row>
    <row r="182" spans="1:21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  <c r="U182" t="s">
        <v>43</v>
      </c>
    </row>
    <row r="183" spans="1:21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  <c r="U183" t="s">
        <v>50</v>
      </c>
    </row>
    <row r="184" spans="1:21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  <c r="U184" t="s">
        <v>39</v>
      </c>
    </row>
    <row r="185" spans="1:21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  <c r="U185" t="s">
        <v>41</v>
      </c>
    </row>
    <row r="186" spans="1:21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  <c r="U186" t="s">
        <v>29</v>
      </c>
    </row>
    <row r="187" spans="1:21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  <c r="U187" t="s">
        <v>33</v>
      </c>
    </row>
    <row r="188" spans="1:21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  <c r="U188" t="s">
        <v>43</v>
      </c>
    </row>
    <row r="189" spans="1:21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  <c r="U189" t="s">
        <v>30</v>
      </c>
    </row>
    <row r="190" spans="1:21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  <c r="U190" t="s">
        <v>33</v>
      </c>
    </row>
    <row r="191" spans="1:21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  <c r="U191" t="s">
        <v>49</v>
      </c>
    </row>
    <row r="192" spans="1:21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  <c r="U192" t="s">
        <v>36</v>
      </c>
    </row>
    <row r="193" spans="1:21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  <c r="U193" t="s">
        <v>66</v>
      </c>
    </row>
    <row r="194" spans="1:21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  <c r="U194" t="s">
        <v>61</v>
      </c>
    </row>
    <row r="195" spans="1:21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  <c r="U195" t="s">
        <v>71</v>
      </c>
    </row>
    <row r="196" spans="1:21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  <c r="U196" t="s">
        <v>32</v>
      </c>
    </row>
    <row r="197" spans="1:21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  <c r="U197" t="s">
        <v>33</v>
      </c>
    </row>
    <row r="198" spans="1:21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  <c r="U198" t="s">
        <v>26</v>
      </c>
    </row>
    <row r="199" spans="1:21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  <c r="U199" t="s">
        <v>39</v>
      </c>
    </row>
    <row r="200" spans="1:21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  <c r="U200" t="s">
        <v>49</v>
      </c>
    </row>
    <row r="201" spans="1:21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  <c r="U201" t="s">
        <v>69</v>
      </c>
    </row>
    <row r="202" spans="1:21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  <c r="U202" t="s">
        <v>64</v>
      </c>
    </row>
    <row r="203" spans="1:21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  <c r="U203" t="s">
        <v>64</v>
      </c>
    </row>
    <row r="204" spans="1:21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  <c r="U204" t="s">
        <v>70</v>
      </c>
    </row>
    <row r="205" spans="1:21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  <c r="U205" t="s">
        <v>58</v>
      </c>
    </row>
    <row r="206" spans="1:21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  <c r="U206" t="s">
        <v>48</v>
      </c>
    </row>
    <row r="207" spans="1:21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  <c r="U207" t="s">
        <v>28</v>
      </c>
    </row>
    <row r="208" spans="1:21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  <c r="U208" t="s">
        <v>49</v>
      </c>
    </row>
    <row r="209" spans="1:21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  <c r="U209" t="s">
        <v>55</v>
      </c>
    </row>
    <row r="210" spans="1:21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  <c r="U210" t="s">
        <v>68</v>
      </c>
    </row>
    <row r="211" spans="1:21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  <c r="U211" t="s">
        <v>68</v>
      </c>
    </row>
    <row r="212" spans="1:21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  <c r="U212" t="s">
        <v>23</v>
      </c>
    </row>
    <row r="213" spans="1:21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  <c r="U213" t="s">
        <v>66</v>
      </c>
    </row>
    <row r="214" spans="1:21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  <c r="U214" t="s">
        <v>66</v>
      </c>
    </row>
    <row r="215" spans="1:21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  <c r="U215" t="s">
        <v>61</v>
      </c>
    </row>
    <row r="216" spans="1:21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  <c r="U216" t="s">
        <v>32</v>
      </c>
    </row>
    <row r="217" spans="1:21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  <c r="U217" t="s">
        <v>58</v>
      </c>
    </row>
    <row r="218" spans="1:21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  <c r="U218" t="s">
        <v>33</v>
      </c>
    </row>
    <row r="219" spans="1:21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  <c r="U219" t="s">
        <v>23</v>
      </c>
    </row>
    <row r="220" spans="1:21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  <c r="U220" t="s">
        <v>48</v>
      </c>
    </row>
    <row r="221" spans="1:21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  <c r="U221" t="s">
        <v>47</v>
      </c>
    </row>
    <row r="222" spans="1:21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  <c r="U222" t="s">
        <v>52</v>
      </c>
    </row>
    <row r="223" spans="1:21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  <c r="U223" t="s">
        <v>68</v>
      </c>
    </row>
    <row r="224" spans="1:21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  <c r="U224" t="s">
        <v>67</v>
      </c>
    </row>
    <row r="225" spans="1:21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  <c r="U225" t="s">
        <v>23</v>
      </c>
    </row>
    <row r="226" spans="1:21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  <c r="U226" t="s">
        <v>50</v>
      </c>
    </row>
    <row r="227" spans="1:21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  <c r="U227" t="s">
        <v>23</v>
      </c>
    </row>
    <row r="228" spans="1:21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  <c r="U228" t="s">
        <v>62</v>
      </c>
    </row>
    <row r="229" spans="1:21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  <c r="U229" t="s">
        <v>54</v>
      </c>
    </row>
    <row r="230" spans="1:21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  <c r="U230" t="s">
        <v>59</v>
      </c>
    </row>
    <row r="231" spans="1:21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  <c r="U231" t="s">
        <v>26</v>
      </c>
    </row>
    <row r="232" spans="1:21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  <c r="U232" t="s">
        <v>57</v>
      </c>
    </row>
    <row r="233" spans="1:21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  <c r="U233" t="s">
        <v>44</v>
      </c>
    </row>
    <row r="234" spans="1:21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  <c r="U234" t="s">
        <v>58</v>
      </c>
    </row>
    <row r="235" spans="1:21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  <c r="U235" t="s">
        <v>29</v>
      </c>
    </row>
    <row r="236" spans="1:21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  <c r="U236" t="s">
        <v>43</v>
      </c>
    </row>
    <row r="237" spans="1:21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  <c r="U237" t="s">
        <v>63</v>
      </c>
    </row>
    <row r="238" spans="1:21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  <c r="U238" t="s">
        <v>51</v>
      </c>
    </row>
    <row r="239" spans="1:21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  <c r="U239" t="s">
        <v>36</v>
      </c>
    </row>
    <row r="240" spans="1:21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  <c r="U240" t="s">
        <v>28</v>
      </c>
    </row>
    <row r="241" spans="1:21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  <c r="U241" t="s">
        <v>23</v>
      </c>
    </row>
    <row r="242" spans="1:21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  <c r="U242" t="s">
        <v>52</v>
      </c>
    </row>
    <row r="243" spans="1:21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  <c r="U243" t="s">
        <v>67</v>
      </c>
    </row>
    <row r="244" spans="1:21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  <c r="U244" t="s">
        <v>28</v>
      </c>
    </row>
    <row r="245" spans="1:21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  <c r="U245" t="s">
        <v>45</v>
      </c>
    </row>
    <row r="246" spans="1:21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  <c r="U246" t="s">
        <v>40</v>
      </c>
    </row>
    <row r="247" spans="1:21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  <c r="U247" t="s">
        <v>23</v>
      </c>
    </row>
    <row r="248" spans="1:21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  <c r="U248" t="s">
        <v>65</v>
      </c>
    </row>
    <row r="249" spans="1:21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  <c r="U249" t="s">
        <v>52</v>
      </c>
    </row>
    <row r="250" spans="1:21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  <c r="U250" t="s">
        <v>58</v>
      </c>
    </row>
    <row r="251" spans="1:21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  <c r="U251" t="s">
        <v>22</v>
      </c>
    </row>
    <row r="252" spans="1:21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  <c r="U252" t="s">
        <v>33</v>
      </c>
    </row>
    <row r="253" spans="1:21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  <c r="U253" t="s">
        <v>40</v>
      </c>
    </row>
    <row r="254" spans="1:21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  <c r="U254" t="s">
        <v>46</v>
      </c>
    </row>
    <row r="255" spans="1:21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  <c r="U255" t="s">
        <v>43</v>
      </c>
    </row>
    <row r="256" spans="1:21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  <c r="U256" t="s">
        <v>71</v>
      </c>
    </row>
    <row r="257" spans="1:21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  <c r="U257" t="s">
        <v>40</v>
      </c>
    </row>
    <row r="258" spans="1:21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  <c r="U258" t="s">
        <v>56</v>
      </c>
    </row>
    <row r="259" spans="1:21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  <c r="U259" t="s">
        <v>45</v>
      </c>
    </row>
    <row r="260" spans="1:21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  <c r="U260" t="s">
        <v>20</v>
      </c>
    </row>
    <row r="261" spans="1:21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  <c r="U261" t="s">
        <v>62</v>
      </c>
    </row>
    <row r="262" spans="1:21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  <c r="U262" t="s">
        <v>34</v>
      </c>
    </row>
    <row r="263" spans="1:21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  <c r="U263" t="s">
        <v>29</v>
      </c>
    </row>
    <row r="264" spans="1:21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  <c r="U264" t="s">
        <v>59</v>
      </c>
    </row>
    <row r="265" spans="1:21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  <c r="U265" t="s">
        <v>63</v>
      </c>
    </row>
    <row r="266" spans="1:21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  <c r="U266" t="s">
        <v>38</v>
      </c>
    </row>
    <row r="267" spans="1:21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  <c r="U267" t="s">
        <v>29</v>
      </c>
    </row>
    <row r="268" spans="1:21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  <c r="U268" t="s">
        <v>48</v>
      </c>
    </row>
    <row r="269" spans="1:21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  <c r="U269" t="s">
        <v>34</v>
      </c>
    </row>
    <row r="270" spans="1:21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  <c r="U270" t="s">
        <v>67</v>
      </c>
    </row>
    <row r="271" spans="1:21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  <c r="U271" t="s">
        <v>57</v>
      </c>
    </row>
    <row r="272" spans="1:21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  <c r="U272" t="s">
        <v>45</v>
      </c>
    </row>
    <row r="273" spans="1:21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  <c r="U273" t="s">
        <v>59</v>
      </c>
    </row>
    <row r="274" spans="1:21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  <c r="U274" t="s">
        <v>45</v>
      </c>
    </row>
    <row r="275" spans="1:21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  <c r="U275" t="s">
        <v>26</v>
      </c>
    </row>
    <row r="276" spans="1:21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  <c r="U276" t="s">
        <v>38</v>
      </c>
    </row>
    <row r="277" spans="1:21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  <c r="U277" t="s">
        <v>64</v>
      </c>
    </row>
    <row r="278" spans="1:21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  <c r="U278" t="s">
        <v>28</v>
      </c>
    </row>
    <row r="279" spans="1:21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  <c r="U279" t="s">
        <v>29</v>
      </c>
    </row>
    <row r="280" spans="1:21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  <c r="U280" t="s">
        <v>47</v>
      </c>
    </row>
    <row r="281" spans="1:21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  <c r="U281" t="s">
        <v>59</v>
      </c>
    </row>
    <row r="282" spans="1:21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  <c r="U282" t="s">
        <v>20</v>
      </c>
    </row>
    <row r="283" spans="1:21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  <c r="U283" t="s">
        <v>31</v>
      </c>
    </row>
    <row r="284" spans="1:21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  <c r="U284" t="s">
        <v>29</v>
      </c>
    </row>
    <row r="285" spans="1:21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  <c r="U285" t="s">
        <v>70</v>
      </c>
    </row>
    <row r="286" spans="1:21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  <c r="U286" t="s">
        <v>60</v>
      </c>
    </row>
    <row r="287" spans="1:21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  <c r="U287" t="s">
        <v>50</v>
      </c>
    </row>
    <row r="288" spans="1:21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  <c r="U288" t="s">
        <v>63</v>
      </c>
    </row>
    <row r="289" spans="1:21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  <c r="U289" t="s">
        <v>35</v>
      </c>
    </row>
    <row r="290" spans="1:21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  <c r="U290" t="s">
        <v>38</v>
      </c>
    </row>
    <row r="291" spans="1:21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  <c r="U291" t="s">
        <v>68</v>
      </c>
    </row>
    <row r="292" spans="1:21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  <c r="U292" t="s">
        <v>54</v>
      </c>
    </row>
    <row r="293" spans="1:21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  <c r="U293" t="s">
        <v>68</v>
      </c>
    </row>
    <row r="294" spans="1:21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  <c r="U294" t="s">
        <v>56</v>
      </c>
    </row>
    <row r="295" spans="1:21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  <c r="U295" t="s">
        <v>43</v>
      </c>
    </row>
    <row r="296" spans="1:21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  <c r="U296" t="s">
        <v>64</v>
      </c>
    </row>
    <row r="297" spans="1:21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  <c r="U297" t="s">
        <v>53</v>
      </c>
    </row>
    <row r="298" spans="1:21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  <c r="U298" t="s">
        <v>59</v>
      </c>
    </row>
    <row r="299" spans="1:21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  <c r="U299" t="s">
        <v>31</v>
      </c>
    </row>
    <row r="300" spans="1:21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  <c r="U300" t="s">
        <v>34</v>
      </c>
    </row>
    <row r="301" spans="1:21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  <c r="U301" t="s">
        <v>49</v>
      </c>
    </row>
    <row r="302" spans="1:21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  <c r="U302" t="s">
        <v>46</v>
      </c>
    </row>
    <row r="303" spans="1:21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  <c r="U303" t="s">
        <v>54</v>
      </c>
    </row>
    <row r="304" spans="1:21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  <c r="U304" t="s">
        <v>30</v>
      </c>
    </row>
    <row r="305" spans="1:21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  <c r="U305" t="s">
        <v>46</v>
      </c>
    </row>
    <row r="306" spans="1:21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  <c r="U306" t="s">
        <v>30</v>
      </c>
    </row>
    <row r="307" spans="1:21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  <c r="U307" t="s">
        <v>64</v>
      </c>
    </row>
    <row r="308" spans="1:21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  <c r="U308" t="s">
        <v>70</v>
      </c>
    </row>
    <row r="309" spans="1:21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  <c r="U309" t="s">
        <v>28</v>
      </c>
    </row>
    <row r="310" spans="1:21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  <c r="U310" t="s">
        <v>20</v>
      </c>
    </row>
    <row r="311" spans="1:21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  <c r="U311" t="s">
        <v>45</v>
      </c>
    </row>
    <row r="312" spans="1:21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  <c r="U312" t="s">
        <v>57</v>
      </c>
    </row>
    <row r="313" spans="1:21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  <c r="U313" t="s">
        <v>20</v>
      </c>
    </row>
    <row r="314" spans="1:21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  <c r="U314" t="s">
        <v>38</v>
      </c>
    </row>
    <row r="315" spans="1:21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  <c r="U315" t="s">
        <v>24</v>
      </c>
    </row>
    <row r="316" spans="1:21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  <c r="U316" t="s">
        <v>65</v>
      </c>
    </row>
    <row r="317" spans="1:21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  <c r="U317" t="s">
        <v>40</v>
      </c>
    </row>
    <row r="318" spans="1:21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  <c r="U318" t="s">
        <v>39</v>
      </c>
    </row>
    <row r="319" spans="1:21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  <c r="U319" t="s">
        <v>64</v>
      </c>
    </row>
    <row r="320" spans="1:21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  <c r="U320" t="s">
        <v>69</v>
      </c>
    </row>
    <row r="321" spans="1:21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  <c r="U321" t="s">
        <v>56</v>
      </c>
    </row>
    <row r="322" spans="1:21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  <c r="U322" t="s">
        <v>54</v>
      </c>
    </row>
    <row r="323" spans="1:21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  <c r="U323" t="s">
        <v>51</v>
      </c>
    </row>
    <row r="324" spans="1:21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  <c r="U324" t="s">
        <v>49</v>
      </c>
    </row>
    <row r="325" spans="1:21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  <c r="U325" t="s">
        <v>35</v>
      </c>
    </row>
    <row r="326" spans="1:21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  <c r="U326" t="s">
        <v>33</v>
      </c>
    </row>
    <row r="327" spans="1:21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  <c r="U327" t="s">
        <v>63</v>
      </c>
    </row>
    <row r="328" spans="1:21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  <c r="U328" t="s">
        <v>56</v>
      </c>
    </row>
    <row r="329" spans="1:21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  <c r="U329" t="s">
        <v>52</v>
      </c>
    </row>
    <row r="330" spans="1:21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  <c r="U330" t="s">
        <v>35</v>
      </c>
    </row>
    <row r="331" spans="1:21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  <c r="U331" t="s">
        <v>64</v>
      </c>
    </row>
    <row r="332" spans="1:21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  <c r="U332" t="s">
        <v>69</v>
      </c>
    </row>
    <row r="333" spans="1:21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  <c r="U333" t="s">
        <v>49</v>
      </c>
    </row>
    <row r="334" spans="1:21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  <c r="U334" t="s">
        <v>62</v>
      </c>
    </row>
    <row r="335" spans="1:21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  <c r="U335" t="s">
        <v>71</v>
      </c>
    </row>
    <row r="336" spans="1:21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  <c r="U336" t="s">
        <v>46</v>
      </c>
    </row>
    <row r="337" spans="1:21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  <c r="U337" t="s">
        <v>48</v>
      </c>
    </row>
    <row r="338" spans="1:21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  <c r="U338" t="s">
        <v>36</v>
      </c>
    </row>
    <row r="339" spans="1:21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  <c r="U339" t="s">
        <v>38</v>
      </c>
    </row>
    <row r="340" spans="1:21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  <c r="U340" t="s">
        <v>70</v>
      </c>
    </row>
    <row r="341" spans="1:21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  <c r="U341" t="s">
        <v>66</v>
      </c>
    </row>
    <row r="342" spans="1:21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  <c r="U342" t="s">
        <v>56</v>
      </c>
    </row>
    <row r="343" spans="1:21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  <c r="U343" t="s">
        <v>45</v>
      </c>
    </row>
    <row r="344" spans="1:21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  <c r="U344" t="s">
        <v>65</v>
      </c>
    </row>
    <row r="345" spans="1:21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  <c r="U345" t="s">
        <v>66</v>
      </c>
    </row>
    <row r="346" spans="1:21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  <c r="U346" t="s">
        <v>36</v>
      </c>
    </row>
    <row r="347" spans="1:21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  <c r="U347" t="s">
        <v>50</v>
      </c>
    </row>
    <row r="348" spans="1:21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  <c r="U348" t="s">
        <v>72</v>
      </c>
    </row>
    <row r="349" spans="1:21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  <c r="U349" t="s">
        <v>26</v>
      </c>
    </row>
    <row r="350" spans="1:21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  <c r="U350" t="s">
        <v>56</v>
      </c>
    </row>
    <row r="351" spans="1:21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  <c r="U351" t="s">
        <v>47</v>
      </c>
    </row>
    <row r="352" spans="1:21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  <c r="U352" t="s">
        <v>55</v>
      </c>
    </row>
    <row r="353" spans="1:21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  <c r="U353" t="s">
        <v>35</v>
      </c>
    </row>
    <row r="354" spans="1:21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  <c r="U354" t="s">
        <v>58</v>
      </c>
    </row>
    <row r="355" spans="1:21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  <c r="U355" t="s">
        <v>42</v>
      </c>
    </row>
    <row r="356" spans="1:21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  <c r="U356" t="s">
        <v>29</v>
      </c>
    </row>
    <row r="357" spans="1:21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  <c r="U357" t="s">
        <v>43</v>
      </c>
    </row>
    <row r="358" spans="1:21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  <c r="U358" t="s">
        <v>53</v>
      </c>
    </row>
    <row r="359" spans="1:21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  <c r="U359" t="s">
        <v>25</v>
      </c>
    </row>
    <row r="360" spans="1:21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  <c r="U360" t="s">
        <v>64</v>
      </c>
    </row>
    <row r="361" spans="1:21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  <c r="U361" t="s">
        <v>49</v>
      </c>
    </row>
    <row r="362" spans="1:21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  <c r="U362" t="s">
        <v>32</v>
      </c>
    </row>
    <row r="363" spans="1:21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  <c r="U363" t="s">
        <v>57</v>
      </c>
    </row>
    <row r="364" spans="1:21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  <c r="U364" t="s">
        <v>64</v>
      </c>
    </row>
    <row r="365" spans="1:21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  <c r="U365" t="s">
        <v>32</v>
      </c>
    </row>
    <row r="366" spans="1:21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  <c r="U366" t="s">
        <v>31</v>
      </c>
    </row>
    <row r="367" spans="1:21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  <c r="U367" t="s">
        <v>52</v>
      </c>
    </row>
    <row r="368" spans="1:21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  <c r="U368" t="s">
        <v>64</v>
      </c>
    </row>
    <row r="369" spans="1:21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  <c r="U369" t="s">
        <v>68</v>
      </c>
    </row>
    <row r="370" spans="1:21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  <c r="U370" t="s">
        <v>50</v>
      </c>
    </row>
    <row r="371" spans="1:21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  <c r="U371" t="s">
        <v>20</v>
      </c>
    </row>
    <row r="372" spans="1:21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  <c r="U372" t="s">
        <v>44</v>
      </c>
    </row>
    <row r="373" spans="1:21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  <c r="U373" t="s">
        <v>48</v>
      </c>
    </row>
    <row r="374" spans="1:21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  <c r="U374" t="s">
        <v>69</v>
      </c>
    </row>
    <row r="375" spans="1:21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  <c r="U375" t="s">
        <v>72</v>
      </c>
    </row>
    <row r="376" spans="1:21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  <c r="U376" t="s">
        <v>36</v>
      </c>
    </row>
    <row r="377" spans="1:21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  <c r="U377" t="s">
        <v>41</v>
      </c>
    </row>
    <row r="378" spans="1:21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  <c r="U378" t="s">
        <v>68</v>
      </c>
    </row>
    <row r="379" spans="1:21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  <c r="U379" t="s">
        <v>45</v>
      </c>
    </row>
    <row r="380" spans="1:21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  <c r="U380" t="s">
        <v>22</v>
      </c>
    </row>
    <row r="381" spans="1:21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  <c r="U381" t="s">
        <v>47</v>
      </c>
    </row>
    <row r="382" spans="1:21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  <c r="U382" t="s">
        <v>42</v>
      </c>
    </row>
    <row r="383" spans="1:21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  <c r="U383" t="s">
        <v>52</v>
      </c>
    </row>
    <row r="384" spans="1:21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  <c r="U384" t="s">
        <v>48</v>
      </c>
    </row>
    <row r="385" spans="1:21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  <c r="U385" t="s">
        <v>61</v>
      </c>
    </row>
    <row r="386" spans="1:21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  <c r="U386" t="s">
        <v>47</v>
      </c>
    </row>
    <row r="387" spans="1:21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  <c r="U387" t="s">
        <v>40</v>
      </c>
    </row>
    <row r="388" spans="1:21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  <c r="U388" t="s">
        <v>53</v>
      </c>
    </row>
    <row r="389" spans="1:21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  <c r="U389" t="s">
        <v>48</v>
      </c>
    </row>
    <row r="390" spans="1:21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  <c r="U390" t="s">
        <v>31</v>
      </c>
    </row>
    <row r="391" spans="1:21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  <c r="U391" t="s">
        <v>24</v>
      </c>
    </row>
    <row r="392" spans="1:21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  <c r="U392" t="s">
        <v>54</v>
      </c>
    </row>
    <row r="393" spans="1:21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  <c r="U393" t="s">
        <v>42</v>
      </c>
    </row>
    <row r="394" spans="1:21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  <c r="U394" t="s">
        <v>25</v>
      </c>
    </row>
    <row r="395" spans="1:21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  <c r="U395" t="s">
        <v>36</v>
      </c>
    </row>
    <row r="396" spans="1:21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  <c r="U396" t="s">
        <v>42</v>
      </c>
    </row>
    <row r="397" spans="1:21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  <c r="U397" t="s">
        <v>44</v>
      </c>
    </row>
    <row r="398" spans="1:21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  <c r="U398" t="s">
        <v>33</v>
      </c>
    </row>
    <row r="399" spans="1:21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  <c r="U399" t="s">
        <v>68</v>
      </c>
    </row>
    <row r="400" spans="1:21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  <c r="U400" t="s">
        <v>40</v>
      </c>
    </row>
    <row r="401" spans="1:21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  <c r="U401" t="s">
        <v>56</v>
      </c>
    </row>
    <row r="402" spans="1:21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  <c r="U402" t="s">
        <v>58</v>
      </c>
    </row>
    <row r="403" spans="1:21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  <c r="U403" t="s">
        <v>25</v>
      </c>
    </row>
    <row r="404" spans="1:21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  <c r="U404" t="s">
        <v>28</v>
      </c>
    </row>
    <row r="405" spans="1:21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  <c r="U405" t="s">
        <v>68</v>
      </c>
    </row>
    <row r="406" spans="1:21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  <c r="U406" t="s">
        <v>41</v>
      </c>
    </row>
    <row r="407" spans="1:21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  <c r="U407" t="s">
        <v>41</v>
      </c>
    </row>
    <row r="408" spans="1:21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  <c r="U408" t="s">
        <v>36</v>
      </c>
    </row>
    <row r="409" spans="1:21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  <c r="U409" t="s">
        <v>52</v>
      </c>
    </row>
    <row r="410" spans="1:21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  <c r="U410" t="s">
        <v>68</v>
      </c>
    </row>
    <row r="411" spans="1:21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  <c r="U411" t="s">
        <v>36</v>
      </c>
    </row>
    <row r="412" spans="1:21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  <c r="U412" t="s">
        <v>62</v>
      </c>
    </row>
    <row r="413" spans="1:21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  <c r="U413" t="s">
        <v>34</v>
      </c>
    </row>
    <row r="414" spans="1:21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  <c r="U414" t="s">
        <v>63</v>
      </c>
    </row>
    <row r="415" spans="1:21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  <c r="U415" t="s">
        <v>62</v>
      </c>
    </row>
    <row r="416" spans="1:21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  <c r="U416" t="s">
        <v>24</v>
      </c>
    </row>
    <row r="417" spans="1:21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  <c r="U417" t="s">
        <v>63</v>
      </c>
    </row>
    <row r="418" spans="1:21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  <c r="U418" t="s">
        <v>40</v>
      </c>
    </row>
    <row r="419" spans="1:21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  <c r="U419" t="s">
        <v>41</v>
      </c>
    </row>
    <row r="420" spans="1:21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  <c r="U420" t="s">
        <v>63</v>
      </c>
    </row>
    <row r="421" spans="1:21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  <c r="U421" t="s">
        <v>33</v>
      </c>
    </row>
    <row r="422" spans="1:21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  <c r="U422" t="s">
        <v>52</v>
      </c>
    </row>
    <row r="423" spans="1:21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  <c r="U423" t="s">
        <v>68</v>
      </c>
    </row>
    <row r="424" spans="1:21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  <c r="U424" t="s">
        <v>37</v>
      </c>
    </row>
    <row r="425" spans="1:21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  <c r="U425" t="s">
        <v>48</v>
      </c>
    </row>
    <row r="426" spans="1:21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  <c r="U426" t="s">
        <v>39</v>
      </c>
    </row>
    <row r="427" spans="1:21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  <c r="U427" t="s">
        <v>49</v>
      </c>
    </row>
    <row r="428" spans="1:21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  <c r="U428" t="s">
        <v>57</v>
      </c>
    </row>
    <row r="429" spans="1:21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  <c r="U429" t="s">
        <v>46</v>
      </c>
    </row>
    <row r="430" spans="1:21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  <c r="U430" t="s">
        <v>30</v>
      </c>
    </row>
    <row r="431" spans="1:21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  <c r="U431" t="s">
        <v>48</v>
      </c>
    </row>
    <row r="432" spans="1:21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  <c r="U432" t="s">
        <v>46</v>
      </c>
    </row>
    <row r="433" spans="1:21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  <c r="U433" t="s">
        <v>57</v>
      </c>
    </row>
    <row r="434" spans="1:21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  <c r="U434" t="s">
        <v>23</v>
      </c>
    </row>
    <row r="435" spans="1:21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  <c r="U435" t="s">
        <v>40</v>
      </c>
    </row>
    <row r="436" spans="1:21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  <c r="U436" t="s">
        <v>41</v>
      </c>
    </row>
    <row r="437" spans="1:21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  <c r="U437" t="s">
        <v>29</v>
      </c>
    </row>
    <row r="438" spans="1:21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  <c r="U438" t="s">
        <v>66</v>
      </c>
    </row>
    <row r="439" spans="1:21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  <c r="U439" t="s">
        <v>41</v>
      </c>
    </row>
    <row r="440" spans="1:21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  <c r="U440" t="s">
        <v>57</v>
      </c>
    </row>
    <row r="441" spans="1:21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  <c r="U441" t="s">
        <v>56</v>
      </c>
    </row>
    <row r="442" spans="1:21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  <c r="U442" t="s">
        <v>57</v>
      </c>
    </row>
    <row r="443" spans="1:21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  <c r="U443" t="s">
        <v>71</v>
      </c>
    </row>
    <row r="444" spans="1:21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  <c r="U444" t="s">
        <v>49</v>
      </c>
    </row>
    <row r="445" spans="1:21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  <c r="U445" t="s">
        <v>62</v>
      </c>
    </row>
    <row r="446" spans="1:21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  <c r="U446" t="s">
        <v>49</v>
      </c>
    </row>
    <row r="447" spans="1:21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  <c r="U447" t="s">
        <v>30</v>
      </c>
    </row>
    <row r="448" spans="1:21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  <c r="U448" t="s">
        <v>67</v>
      </c>
    </row>
    <row r="449" spans="1:21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  <c r="U449" t="s">
        <v>41</v>
      </c>
    </row>
    <row r="450" spans="1:21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  <c r="U450" t="s">
        <v>28</v>
      </c>
    </row>
    <row r="451" spans="1:21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  <c r="U451" t="s">
        <v>65</v>
      </c>
    </row>
    <row r="452" spans="1:21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  <c r="U452" t="s">
        <v>69</v>
      </c>
    </row>
    <row r="453" spans="1:21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  <c r="U453" t="s">
        <v>51</v>
      </c>
    </row>
    <row r="454" spans="1:21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  <c r="U454" t="s">
        <v>36</v>
      </c>
    </row>
    <row r="455" spans="1:21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  <c r="U455" t="s">
        <v>22</v>
      </c>
    </row>
    <row r="456" spans="1:21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  <c r="U456" t="s">
        <v>51</v>
      </c>
    </row>
    <row r="457" spans="1:21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  <c r="U457" t="s">
        <v>63</v>
      </c>
    </row>
    <row r="458" spans="1:21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  <c r="U458" t="s">
        <v>44</v>
      </c>
    </row>
    <row r="459" spans="1:21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  <c r="U459" t="s">
        <v>34</v>
      </c>
    </row>
    <row r="460" spans="1:21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  <c r="U460" t="s">
        <v>31</v>
      </c>
    </row>
    <row r="461" spans="1:21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  <c r="U461" t="s">
        <v>23</v>
      </c>
    </row>
    <row r="462" spans="1:21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  <c r="U462" t="s">
        <v>50</v>
      </c>
    </row>
    <row r="463" spans="1:21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  <c r="U463" t="s">
        <v>23</v>
      </c>
    </row>
    <row r="464" spans="1:21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  <c r="U464" t="s">
        <v>37</v>
      </c>
    </row>
    <row r="465" spans="1:21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  <c r="U465" t="s">
        <v>39</v>
      </c>
    </row>
    <row r="466" spans="1:21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  <c r="U466" t="s">
        <v>37</v>
      </c>
    </row>
    <row r="467" spans="1:21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  <c r="U467" t="s">
        <v>36</v>
      </c>
    </row>
    <row r="468" spans="1:21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  <c r="U468" t="s">
        <v>29</v>
      </c>
    </row>
    <row r="469" spans="1:21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  <c r="U469" t="s">
        <v>25</v>
      </c>
    </row>
    <row r="470" spans="1:21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  <c r="U470" t="s">
        <v>48</v>
      </c>
    </row>
    <row r="471" spans="1:21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  <c r="U471" t="s">
        <v>72</v>
      </c>
    </row>
    <row r="472" spans="1:21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  <c r="U472" t="s">
        <v>62</v>
      </c>
    </row>
    <row r="473" spans="1:21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  <c r="U473" t="s">
        <v>42</v>
      </c>
    </row>
    <row r="474" spans="1:21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  <c r="U474" t="s">
        <v>70</v>
      </c>
    </row>
    <row r="475" spans="1:21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  <c r="U475" t="s">
        <v>33</v>
      </c>
    </row>
    <row r="476" spans="1:21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  <c r="U476" t="s">
        <v>65</v>
      </c>
    </row>
    <row r="477" spans="1:21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  <c r="U477" t="s">
        <v>41</v>
      </c>
    </row>
    <row r="478" spans="1:21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  <c r="U478" t="s">
        <v>50</v>
      </c>
    </row>
    <row r="479" spans="1:21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  <c r="U479" t="s">
        <v>66</v>
      </c>
    </row>
    <row r="480" spans="1:21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  <c r="U480" t="s">
        <v>49</v>
      </c>
    </row>
    <row r="481" spans="1:21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  <c r="U481" t="s">
        <v>42</v>
      </c>
    </row>
    <row r="482" spans="1:21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  <c r="U482" t="s">
        <v>26</v>
      </c>
    </row>
    <row r="483" spans="1:21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  <c r="U483" t="s">
        <v>22</v>
      </c>
    </row>
    <row r="484" spans="1:21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  <c r="U484" t="s">
        <v>40</v>
      </c>
    </row>
    <row r="485" spans="1:21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  <c r="U485" t="s">
        <v>57</v>
      </c>
    </row>
    <row r="486" spans="1:21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  <c r="U486" t="s">
        <v>44</v>
      </c>
    </row>
    <row r="487" spans="1:21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  <c r="U487" t="s">
        <v>34</v>
      </c>
    </row>
    <row r="488" spans="1:21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  <c r="U488" t="s">
        <v>46</v>
      </c>
    </row>
    <row r="489" spans="1:21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  <c r="U489" t="s">
        <v>42</v>
      </c>
    </row>
    <row r="490" spans="1:21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  <c r="U490" t="s">
        <v>20</v>
      </c>
    </row>
    <row r="491" spans="1:21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  <c r="U491" t="s">
        <v>43</v>
      </c>
    </row>
    <row r="492" spans="1:21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  <c r="U492" t="s">
        <v>61</v>
      </c>
    </row>
    <row r="493" spans="1:21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  <c r="U493" t="s">
        <v>70</v>
      </c>
    </row>
    <row r="494" spans="1:21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  <c r="U494" t="s">
        <v>40</v>
      </c>
    </row>
    <row r="495" spans="1:21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  <c r="U495" t="s">
        <v>57</v>
      </c>
    </row>
    <row r="496" spans="1:21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  <c r="U496" t="s">
        <v>57</v>
      </c>
    </row>
    <row r="497" spans="1:21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  <c r="U497" t="s">
        <v>47</v>
      </c>
    </row>
    <row r="498" spans="1:21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  <c r="U498" t="s">
        <v>35</v>
      </c>
    </row>
    <row r="499" spans="1:21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  <c r="U499" t="s">
        <v>53</v>
      </c>
    </row>
    <row r="500" spans="1:21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  <c r="U500" t="s">
        <v>71</v>
      </c>
    </row>
    <row r="501" spans="1:21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  <c r="U501" t="s">
        <v>63</v>
      </c>
    </row>
    <row r="502" spans="1:21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  <c r="U502" t="s">
        <v>36</v>
      </c>
    </row>
    <row r="503" spans="1:21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  <c r="U503" t="s">
        <v>70</v>
      </c>
    </row>
    <row r="504" spans="1:21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  <c r="U504" t="s">
        <v>72</v>
      </c>
    </row>
    <row r="505" spans="1:21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  <c r="U505" t="s">
        <v>32</v>
      </c>
    </row>
    <row r="506" spans="1:21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  <c r="U506" t="s">
        <v>34</v>
      </c>
    </row>
    <row r="507" spans="1:21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  <c r="U507" t="s">
        <v>68</v>
      </c>
    </row>
    <row r="508" spans="1:21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  <c r="U508" t="s">
        <v>30</v>
      </c>
    </row>
    <row r="509" spans="1:21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  <c r="U509" t="s">
        <v>68</v>
      </c>
    </row>
    <row r="510" spans="1:21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  <c r="U510" t="s">
        <v>70</v>
      </c>
    </row>
    <row r="511" spans="1:21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  <c r="U511" t="s">
        <v>41</v>
      </c>
    </row>
    <row r="512" spans="1:21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  <c r="U512" t="s">
        <v>22</v>
      </c>
    </row>
    <row r="513" spans="1:21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  <c r="U513" t="s">
        <v>47</v>
      </c>
    </row>
    <row r="514" spans="1:21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  <c r="U514" t="s">
        <v>70</v>
      </c>
    </row>
    <row r="515" spans="1:21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  <c r="U515" t="s">
        <v>48</v>
      </c>
    </row>
    <row r="516" spans="1:21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  <c r="U516" t="s">
        <v>70</v>
      </c>
    </row>
    <row r="517" spans="1:21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  <c r="U517" t="s">
        <v>53</v>
      </c>
    </row>
    <row r="518" spans="1:21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  <c r="U518" t="s">
        <v>34</v>
      </c>
    </row>
    <row r="519" spans="1:21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  <c r="U519" t="s">
        <v>25</v>
      </c>
    </row>
    <row r="520" spans="1:21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  <c r="U520" t="s">
        <v>28</v>
      </c>
    </row>
    <row r="521" spans="1:21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  <c r="U521" t="s">
        <v>44</v>
      </c>
    </row>
    <row r="522" spans="1:21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  <c r="U522" t="s">
        <v>56</v>
      </c>
    </row>
    <row r="523" spans="1:21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  <c r="U523" t="s">
        <v>59</v>
      </c>
    </row>
    <row r="524" spans="1:21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  <c r="U524" t="s">
        <v>61</v>
      </c>
    </row>
    <row r="525" spans="1:21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  <c r="U525" t="s">
        <v>59</v>
      </c>
    </row>
    <row r="526" spans="1:21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  <c r="U526" t="s">
        <v>32</v>
      </c>
    </row>
    <row r="527" spans="1:21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  <c r="U527" t="s">
        <v>24</v>
      </c>
    </row>
    <row r="528" spans="1:21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  <c r="U528" t="s">
        <v>45</v>
      </c>
    </row>
    <row r="529" spans="1:21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  <c r="U529" t="s">
        <v>65</v>
      </c>
    </row>
    <row r="530" spans="1:21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  <c r="U530" t="s">
        <v>55</v>
      </c>
    </row>
    <row r="531" spans="1:21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  <c r="U531" t="s">
        <v>64</v>
      </c>
    </row>
    <row r="532" spans="1:21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  <c r="U532" t="s">
        <v>25</v>
      </c>
    </row>
    <row r="533" spans="1:21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  <c r="U533" t="s">
        <v>58</v>
      </c>
    </row>
    <row r="534" spans="1:21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  <c r="U534" t="s">
        <v>44</v>
      </c>
    </row>
    <row r="535" spans="1:21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  <c r="U535" t="s">
        <v>52</v>
      </c>
    </row>
    <row r="536" spans="1:21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  <c r="U536" t="s">
        <v>26</v>
      </c>
    </row>
    <row r="537" spans="1:21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  <c r="U537" t="s">
        <v>31</v>
      </c>
    </row>
    <row r="538" spans="1:21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  <c r="U538" t="s">
        <v>22</v>
      </c>
    </row>
    <row r="539" spans="1:21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  <c r="U539" t="s">
        <v>61</v>
      </c>
    </row>
    <row r="540" spans="1:21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  <c r="U540" t="s">
        <v>49</v>
      </c>
    </row>
    <row r="541" spans="1:21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  <c r="U541" t="s">
        <v>45</v>
      </c>
    </row>
    <row r="542" spans="1:21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  <c r="U542" t="s">
        <v>64</v>
      </c>
    </row>
    <row r="543" spans="1:21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  <c r="U543" t="s">
        <v>33</v>
      </c>
    </row>
    <row r="544" spans="1:21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  <c r="U544" t="s">
        <v>65</v>
      </c>
    </row>
    <row r="545" spans="1:21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  <c r="U545" t="s">
        <v>52</v>
      </c>
    </row>
    <row r="546" spans="1:21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  <c r="U546" t="s">
        <v>45</v>
      </c>
    </row>
    <row r="547" spans="1:21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  <c r="U547" t="s">
        <v>38</v>
      </c>
    </row>
    <row r="548" spans="1:21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  <c r="U548" t="s">
        <v>29</v>
      </c>
    </row>
    <row r="549" spans="1:21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  <c r="U549" t="s">
        <v>48</v>
      </c>
    </row>
    <row r="550" spans="1:21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  <c r="U550" t="s">
        <v>57</v>
      </c>
    </row>
    <row r="551" spans="1:21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  <c r="U551" t="s">
        <v>47</v>
      </c>
    </row>
    <row r="552" spans="1:21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  <c r="U552" t="s">
        <v>53</v>
      </c>
    </row>
    <row r="553" spans="1:21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  <c r="U553" t="s">
        <v>46</v>
      </c>
    </row>
    <row r="554" spans="1:21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  <c r="U554" t="s">
        <v>24</v>
      </c>
    </row>
    <row r="555" spans="1:21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  <c r="U555" t="s">
        <v>38</v>
      </c>
    </row>
    <row r="556" spans="1:21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  <c r="U556" t="s">
        <v>66</v>
      </c>
    </row>
    <row r="557" spans="1:21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  <c r="U557" t="s">
        <v>23</v>
      </c>
    </row>
    <row r="558" spans="1:21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  <c r="U558" t="s">
        <v>66</v>
      </c>
    </row>
    <row r="559" spans="1:21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  <c r="U559" t="s">
        <v>46</v>
      </c>
    </row>
    <row r="560" spans="1:21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  <c r="U560" t="s">
        <v>62</v>
      </c>
    </row>
    <row r="561" spans="1:21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  <c r="U561" t="s">
        <v>31</v>
      </c>
    </row>
    <row r="562" spans="1:21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  <c r="U562" t="s">
        <v>64</v>
      </c>
    </row>
    <row r="563" spans="1:21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  <c r="U563" t="s">
        <v>50</v>
      </c>
    </row>
    <row r="564" spans="1:21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  <c r="U564" t="s">
        <v>69</v>
      </c>
    </row>
    <row r="565" spans="1:21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  <c r="U565" t="s">
        <v>67</v>
      </c>
    </row>
    <row r="566" spans="1:21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  <c r="U566" t="s">
        <v>70</v>
      </c>
    </row>
    <row r="567" spans="1:21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  <c r="U567" t="s">
        <v>56</v>
      </c>
    </row>
    <row r="568" spans="1:21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  <c r="U568" t="s">
        <v>35</v>
      </c>
    </row>
    <row r="569" spans="1:21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  <c r="U569" t="s">
        <v>42</v>
      </c>
    </row>
    <row r="570" spans="1:21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  <c r="U570" t="s">
        <v>52</v>
      </c>
    </row>
    <row r="571" spans="1:21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  <c r="U571" t="s">
        <v>55</v>
      </c>
    </row>
    <row r="572" spans="1:21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  <c r="U572" t="s">
        <v>59</v>
      </c>
    </row>
    <row r="573" spans="1:21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  <c r="U573" t="s">
        <v>42</v>
      </c>
    </row>
    <row r="574" spans="1:21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  <c r="U574" t="s">
        <v>40</v>
      </c>
    </row>
    <row r="575" spans="1:21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  <c r="U575" t="s">
        <v>22</v>
      </c>
    </row>
    <row r="576" spans="1:21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  <c r="U576" t="s">
        <v>41</v>
      </c>
    </row>
    <row r="577" spans="1:21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  <c r="U577" t="s">
        <v>44</v>
      </c>
    </row>
    <row r="578" spans="1:21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  <c r="U578" t="s">
        <v>67</v>
      </c>
    </row>
    <row r="579" spans="1:21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  <c r="U579" t="s">
        <v>47</v>
      </c>
    </row>
    <row r="580" spans="1:21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  <c r="U580" t="s">
        <v>32</v>
      </c>
    </row>
    <row r="581" spans="1:21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  <c r="U581" t="s">
        <v>72</v>
      </c>
    </row>
    <row r="582" spans="1:21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  <c r="U582" t="s">
        <v>48</v>
      </c>
    </row>
    <row r="583" spans="1:21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  <c r="U583" t="s">
        <v>46</v>
      </c>
    </row>
    <row r="584" spans="1:21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  <c r="U584" t="s">
        <v>53</v>
      </c>
    </row>
    <row r="585" spans="1:21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  <c r="U585" t="s">
        <v>29</v>
      </c>
    </row>
    <row r="586" spans="1:21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  <c r="U586" t="s">
        <v>31</v>
      </c>
    </row>
    <row r="587" spans="1:21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  <c r="U587" t="s">
        <v>24</v>
      </c>
    </row>
    <row r="588" spans="1:21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  <c r="U588" t="s">
        <v>60</v>
      </c>
    </row>
    <row r="589" spans="1:21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  <c r="U589" t="s">
        <v>41</v>
      </c>
    </row>
    <row r="590" spans="1:21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  <c r="U590" t="s">
        <v>59</v>
      </c>
    </row>
    <row r="591" spans="1:21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  <c r="U591" t="s">
        <v>25</v>
      </c>
    </row>
    <row r="592" spans="1:21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  <c r="U592" t="s">
        <v>28</v>
      </c>
    </row>
    <row r="593" spans="1:21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  <c r="U593" t="s">
        <v>43</v>
      </c>
    </row>
    <row r="594" spans="1:21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  <c r="U594" t="s">
        <v>44</v>
      </c>
    </row>
    <row r="595" spans="1:21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  <c r="U595" t="s">
        <v>33</v>
      </c>
    </row>
    <row r="596" spans="1:21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  <c r="U596" t="s">
        <v>30</v>
      </c>
    </row>
    <row r="597" spans="1:21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  <c r="U597" t="s">
        <v>57</v>
      </c>
    </row>
    <row r="598" spans="1:21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  <c r="U598" t="s">
        <v>65</v>
      </c>
    </row>
    <row r="599" spans="1:21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  <c r="U599" t="s">
        <v>42</v>
      </c>
    </row>
    <row r="600" spans="1:21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  <c r="U600" t="s">
        <v>37</v>
      </c>
    </row>
    <row r="601" spans="1:21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  <c r="U601" t="s">
        <v>59</v>
      </c>
    </row>
    <row r="602" spans="1:21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  <c r="U602" t="s">
        <v>37</v>
      </c>
    </row>
    <row r="603" spans="1:21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  <c r="U603" t="s">
        <v>36</v>
      </c>
    </row>
    <row r="604" spans="1:21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  <c r="U604" t="s">
        <v>61</v>
      </c>
    </row>
    <row r="605" spans="1:21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  <c r="U605" t="s">
        <v>35</v>
      </c>
    </row>
    <row r="606" spans="1:21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  <c r="U606" t="s">
        <v>38</v>
      </c>
    </row>
    <row r="607" spans="1:21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  <c r="U607" t="s">
        <v>63</v>
      </c>
    </row>
    <row r="608" spans="1:21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  <c r="U608" t="s">
        <v>37</v>
      </c>
    </row>
    <row r="609" spans="1:21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  <c r="U609" t="s">
        <v>47</v>
      </c>
    </row>
    <row r="610" spans="1:21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  <c r="U610" t="s">
        <v>49</v>
      </c>
    </row>
    <row r="611" spans="1:21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  <c r="U611" t="s">
        <v>24</v>
      </c>
    </row>
    <row r="612" spans="1:21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  <c r="U612" t="s">
        <v>22</v>
      </c>
    </row>
    <row r="613" spans="1:21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  <c r="U613" t="s">
        <v>62</v>
      </c>
    </row>
    <row r="614" spans="1:21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  <c r="U614" t="s">
        <v>58</v>
      </c>
    </row>
    <row r="615" spans="1:21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  <c r="U615" t="s">
        <v>47</v>
      </c>
    </row>
    <row r="616" spans="1:21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  <c r="U616" t="s">
        <v>64</v>
      </c>
    </row>
    <row r="617" spans="1:21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  <c r="U617" t="s">
        <v>34</v>
      </c>
    </row>
    <row r="618" spans="1:21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  <c r="U618" t="s">
        <v>66</v>
      </c>
    </row>
    <row r="619" spans="1:21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  <c r="U619" t="s">
        <v>64</v>
      </c>
    </row>
    <row r="620" spans="1:21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  <c r="U620" t="s">
        <v>22</v>
      </c>
    </row>
    <row r="621" spans="1:21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  <c r="U621" t="s">
        <v>46</v>
      </c>
    </row>
    <row r="622" spans="1:21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  <c r="U622" t="s">
        <v>34</v>
      </c>
    </row>
    <row r="623" spans="1:21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  <c r="U623" t="s">
        <v>46</v>
      </c>
    </row>
    <row r="624" spans="1:21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  <c r="U624" t="s">
        <v>63</v>
      </c>
    </row>
    <row r="625" spans="1:21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  <c r="U625" t="s">
        <v>22</v>
      </c>
    </row>
    <row r="626" spans="1:21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  <c r="U626" t="s">
        <v>68</v>
      </c>
    </row>
    <row r="627" spans="1:21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  <c r="U627" t="s">
        <v>45</v>
      </c>
    </row>
    <row r="628" spans="1:21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  <c r="U628" t="s">
        <v>46</v>
      </c>
    </row>
    <row r="629" spans="1:21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  <c r="U629" t="s">
        <v>20</v>
      </c>
    </row>
    <row r="630" spans="1:21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  <c r="U630" t="s">
        <v>36</v>
      </c>
    </row>
    <row r="631" spans="1:21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  <c r="U631" t="s">
        <v>66</v>
      </c>
    </row>
    <row r="632" spans="1:21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  <c r="U632" t="s">
        <v>66</v>
      </c>
    </row>
    <row r="633" spans="1:21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  <c r="U633" t="s">
        <v>71</v>
      </c>
    </row>
    <row r="634" spans="1:21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  <c r="U634" t="s">
        <v>41</v>
      </c>
    </row>
    <row r="635" spans="1:21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  <c r="U635" t="s">
        <v>40</v>
      </c>
    </row>
    <row r="636" spans="1:21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  <c r="U636" t="s">
        <v>67</v>
      </c>
    </row>
    <row r="637" spans="1:21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  <c r="U637" t="s">
        <v>29</v>
      </c>
    </row>
    <row r="638" spans="1:21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  <c r="U638" t="s">
        <v>61</v>
      </c>
    </row>
    <row r="639" spans="1:21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  <c r="U639" t="s">
        <v>36</v>
      </c>
    </row>
    <row r="640" spans="1:21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  <c r="U640" t="s">
        <v>24</v>
      </c>
    </row>
    <row r="641" spans="1:21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  <c r="U641" t="s">
        <v>53</v>
      </c>
    </row>
    <row r="642" spans="1:21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  <c r="U642" t="s">
        <v>23</v>
      </c>
    </row>
    <row r="643" spans="1:21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  <c r="U643" t="s">
        <v>47</v>
      </c>
    </row>
    <row r="644" spans="1:21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  <c r="U644" t="s">
        <v>63</v>
      </c>
    </row>
    <row r="645" spans="1:21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  <c r="U645" t="s">
        <v>35</v>
      </c>
    </row>
    <row r="646" spans="1:21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  <c r="U646" t="s">
        <v>56</v>
      </c>
    </row>
    <row r="647" spans="1:21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  <c r="U647" t="s">
        <v>31</v>
      </c>
    </row>
    <row r="648" spans="1:21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  <c r="U648" t="s">
        <v>55</v>
      </c>
    </row>
    <row r="649" spans="1:21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  <c r="U649" t="s">
        <v>38</v>
      </c>
    </row>
    <row r="650" spans="1:21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  <c r="U650" t="s">
        <v>52</v>
      </c>
    </row>
    <row r="651" spans="1:21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  <c r="U651" t="s">
        <v>52</v>
      </c>
    </row>
    <row r="652" spans="1:21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  <c r="U652" t="s">
        <v>50</v>
      </c>
    </row>
    <row r="653" spans="1:21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  <c r="U653" t="s">
        <v>55</v>
      </c>
    </row>
    <row r="654" spans="1:21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  <c r="U654" t="s">
        <v>40</v>
      </c>
    </row>
    <row r="655" spans="1:21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  <c r="U655" t="s">
        <v>65</v>
      </c>
    </row>
    <row r="656" spans="1:21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  <c r="U656" t="s">
        <v>23</v>
      </c>
    </row>
    <row r="657" spans="1:21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  <c r="U657" t="s">
        <v>31</v>
      </c>
    </row>
    <row r="658" spans="1:21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  <c r="U658" t="s">
        <v>26</v>
      </c>
    </row>
    <row r="659" spans="1:21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  <c r="U659" t="s">
        <v>38</v>
      </c>
    </row>
    <row r="660" spans="1:21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  <c r="U660" t="s">
        <v>52</v>
      </c>
    </row>
    <row r="661" spans="1:21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  <c r="U661" t="s">
        <v>39</v>
      </c>
    </row>
    <row r="662" spans="1:21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  <c r="U662" t="s">
        <v>22</v>
      </c>
    </row>
    <row r="663" spans="1:21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  <c r="U663" t="s">
        <v>39</v>
      </c>
    </row>
    <row r="664" spans="1:21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  <c r="U664" t="s">
        <v>31</v>
      </c>
    </row>
    <row r="665" spans="1:21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  <c r="U665" t="s">
        <v>44</v>
      </c>
    </row>
    <row r="666" spans="1:21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  <c r="U666" t="s">
        <v>33</v>
      </c>
    </row>
    <row r="667" spans="1:21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  <c r="U667" t="s">
        <v>66</v>
      </c>
    </row>
    <row r="668" spans="1:21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  <c r="U668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activeCell="B2" sqref="B2"/>
    </sheetView>
  </sheetViews>
  <sheetFormatPr defaultRowHeight="14.4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26</v>
      </c>
      <c r="B2">
        <f>COUNTIFS(Clean_Data!A2:A668,A2,Clean_Data!T2:T668,FALSE)</f>
        <v>9</v>
      </c>
      <c r="C2">
        <f>COUNTIFS(Clean_Data!A2:A668,A2,Clean_Data!T2:T668,TRUE)</f>
        <v>0</v>
      </c>
    </row>
    <row r="3" spans="1:3">
      <c r="A3" s="1" t="s">
        <v>44</v>
      </c>
      <c r="B3">
        <f>COUNTIFS(Clean_Data!A3:A669,A3,Clean_Data!T3:T669,FALSE)</f>
        <v>13</v>
      </c>
      <c r="C3">
        <f>COUNTIFS(Clean_Data!A3:A669,A3,Clean_Data!T3:T669,TRUE)</f>
        <v>1</v>
      </c>
    </row>
    <row r="4" spans="1:3">
      <c r="A4" s="1" t="s">
        <v>69</v>
      </c>
      <c r="B4">
        <f>COUNTIFS(Clean_Data!A4:A670,A4,Clean_Data!T4:T670,FALSE)</f>
        <v>8</v>
      </c>
      <c r="C4">
        <f>COUNTIFS(Clean_Data!A4:A670,A4,Clean_Data!T4:T670,TRUE)</f>
        <v>0</v>
      </c>
    </row>
    <row r="5" spans="1:3">
      <c r="A5" s="1" t="s">
        <v>38</v>
      </c>
      <c r="B5">
        <f>COUNTIFS(Clean_Data!A5:A671,A5,Clean_Data!T5:T671,FALSE)</f>
        <v>18</v>
      </c>
      <c r="C5">
        <f>COUNTIFS(Clean_Data!A5:A671,A5,Clean_Data!T5:T671,TRUE)</f>
        <v>1</v>
      </c>
    </row>
    <row r="6" spans="1:3">
      <c r="A6" s="1" t="s">
        <v>39</v>
      </c>
      <c r="B6">
        <f>COUNTIFS(Clean_Data!A6:A672,A6,Clean_Data!T6:T672,FALSE)</f>
        <v>6</v>
      </c>
      <c r="C6">
        <f>COUNTIFS(Clean_Data!A6:A672,A6,Clean_Data!T6:T672,TRUE)</f>
        <v>4</v>
      </c>
    </row>
    <row r="7" spans="1:3">
      <c r="A7" s="1" t="s">
        <v>37</v>
      </c>
      <c r="B7">
        <f>COUNTIFS(Clean_Data!A7:A673,A7,Clean_Data!T7:T673,FALSE)</f>
        <v>5</v>
      </c>
      <c r="C7">
        <f>COUNTIFS(Clean_Data!A7:A673,A7,Clean_Data!T7:T673,TRUE)</f>
        <v>2</v>
      </c>
    </row>
    <row r="8" spans="1:3">
      <c r="A8" s="1" t="s">
        <v>56</v>
      </c>
      <c r="B8">
        <f>COUNTIFS(Clean_Data!A8:A674,A8,Clean_Data!T8:T674,FALSE)</f>
        <v>14</v>
      </c>
      <c r="C8">
        <f>COUNTIFS(Clean_Data!A8:A674,A8,Clean_Data!T8:T674,TRUE)</f>
        <v>1</v>
      </c>
    </row>
    <row r="9" spans="1:3">
      <c r="A9" s="1" t="s">
        <v>61</v>
      </c>
      <c r="B9">
        <f>COUNTIFS(Clean_Data!A9:A675,A9,Clean_Data!T9:T675,FALSE)</f>
        <v>9</v>
      </c>
      <c r="C9">
        <f>COUNTIFS(Clean_Data!A9:A675,A9,Clean_Data!T9:T675,TRUE)</f>
        <v>0</v>
      </c>
    </row>
    <row r="10" spans="1:3">
      <c r="A10" s="1" t="s">
        <v>58</v>
      </c>
      <c r="B10">
        <f>COUNTIFS(Clean_Data!A10:A676,A10,Clean_Data!T10:T676,FALSE)</f>
        <v>9</v>
      </c>
      <c r="C10">
        <f>COUNTIFS(Clean_Data!A10:A676,A10,Clean_Data!T10:T676,TRUE)</f>
        <v>1</v>
      </c>
    </row>
    <row r="11" spans="1:3">
      <c r="A11" s="1" t="s">
        <v>51</v>
      </c>
      <c r="B11">
        <f>COUNTIFS(Clean_Data!A11:A677,A11,Clean_Data!T11:T677,FALSE)</f>
        <v>8</v>
      </c>
      <c r="C11">
        <f>COUNTIFS(Clean_Data!A11:A677,A11,Clean_Data!T11:T677,TRUE)</f>
        <v>1</v>
      </c>
    </row>
    <row r="12" spans="1:3">
      <c r="A12" s="1" t="s">
        <v>72</v>
      </c>
      <c r="B12">
        <f>COUNTIFS(Clean_Data!A12:A678,A12,Clean_Data!T12:T678,FALSE)</f>
        <v>5</v>
      </c>
      <c r="C12">
        <f>COUNTIFS(Clean_Data!A12:A678,A12,Clean_Data!T12:T678,TRUE)</f>
        <v>0</v>
      </c>
    </row>
    <row r="13" spans="1:3">
      <c r="A13" s="1" t="s">
        <v>25</v>
      </c>
      <c r="B13">
        <f>COUNTIFS(Clean_Data!A13:A679,A13,Clean_Data!T13:T679,FALSE)</f>
        <v>7</v>
      </c>
      <c r="C13">
        <f>COUNTIFS(Clean_Data!A13:A679,A13,Clean_Data!T13:T679,TRUE)</f>
        <v>1</v>
      </c>
    </row>
    <row r="14" spans="1:3">
      <c r="A14" s="1" t="s">
        <v>71</v>
      </c>
      <c r="B14">
        <f>COUNTIFS(Clean_Data!A14:A680,A14,Clean_Data!T14:T680,FALSE)</f>
        <v>6</v>
      </c>
      <c r="C14">
        <f>COUNTIFS(Clean_Data!A14:A680,A14,Clean_Data!T14:T680,TRUE)</f>
        <v>0</v>
      </c>
    </row>
    <row r="15" spans="1:3">
      <c r="A15" s="1" t="s">
        <v>29</v>
      </c>
      <c r="B15">
        <f>COUNTIFS(Clean_Data!A15:A681,A15,Clean_Data!T15:T681,FALSE)</f>
        <v>13</v>
      </c>
      <c r="C15">
        <f>COUNTIFS(Clean_Data!A15:A681,A15,Clean_Data!T15:T681,TRUE)</f>
        <v>3</v>
      </c>
    </row>
    <row r="16" spans="1:3">
      <c r="A16" s="1" t="s">
        <v>63</v>
      </c>
      <c r="B16">
        <f>COUNTIFS(Clean_Data!A16:A682,A16,Clean_Data!T16:T682,FALSE)</f>
        <v>12</v>
      </c>
      <c r="C16">
        <f>COUNTIFS(Clean_Data!A16:A682,A16,Clean_Data!T16:T682,TRUE)</f>
        <v>1</v>
      </c>
    </row>
    <row r="17" spans="1:3">
      <c r="A17" s="1" t="s">
        <v>22</v>
      </c>
      <c r="B17">
        <f>COUNTIFS(Clean_Data!A17:A683,A17,Clean_Data!T17:T683,FALSE)</f>
        <v>14</v>
      </c>
      <c r="C17">
        <f>COUNTIFS(Clean_Data!A17:A683,A17,Clean_Data!T17:T683,TRUE)</f>
        <v>2</v>
      </c>
    </row>
    <row r="18" spans="1:3">
      <c r="A18" s="1" t="s">
        <v>52</v>
      </c>
      <c r="B18">
        <f>COUNTIFS(Clean_Data!A18:A684,A18,Clean_Data!T18:T684,FALSE)</f>
        <v>15</v>
      </c>
      <c r="C18">
        <f>COUNTIFS(Clean_Data!A18:A684,A18,Clean_Data!T18:T684,TRUE)</f>
        <v>3</v>
      </c>
    </row>
    <row r="19" spans="1:3">
      <c r="A19" s="1" t="s">
        <v>36</v>
      </c>
      <c r="B19">
        <f>COUNTIFS(Clean_Data!A19:A685,A19,Clean_Data!T19:T685,FALSE)</f>
        <v>14</v>
      </c>
      <c r="C19">
        <f>COUNTIFS(Clean_Data!A19:A685,A19,Clean_Data!T19:T685,TRUE)</f>
        <v>2</v>
      </c>
    </row>
    <row r="20" spans="1:3">
      <c r="A20" s="1" t="s">
        <v>20</v>
      </c>
      <c r="B20">
        <f>COUNTIFS(Clean_Data!A20:A686,A20,Clean_Data!T20:T686,FALSE)</f>
        <v>14</v>
      </c>
      <c r="C20">
        <f>COUNTIFS(Clean_Data!A20:A686,A20,Clean_Data!T20:T686,TRUE)</f>
        <v>0</v>
      </c>
    </row>
    <row r="21" spans="1:3">
      <c r="A21" s="1" t="s">
        <v>35</v>
      </c>
      <c r="B21">
        <f>COUNTIFS(Clean_Data!A21:A687,A21,Clean_Data!T21:T687,FALSE)</f>
        <v>9</v>
      </c>
      <c r="C21">
        <f>COUNTIFS(Clean_Data!A21:A687,A21,Clean_Data!T21:T687,TRUE)</f>
        <v>3</v>
      </c>
    </row>
    <row r="22" spans="1:3">
      <c r="A22" s="1" t="s">
        <v>65</v>
      </c>
      <c r="B22">
        <f>COUNTIFS(Clean_Data!A22:A688,A22,Clean_Data!T22:T688,FALSE)</f>
        <v>7</v>
      </c>
      <c r="C22">
        <f>COUNTIFS(Clean_Data!A22:A688,A22,Clean_Data!T22:T688,TRUE)</f>
        <v>3</v>
      </c>
    </row>
    <row r="23" spans="1:3">
      <c r="A23" s="1" t="s">
        <v>62</v>
      </c>
      <c r="B23">
        <f>COUNTIFS(Clean_Data!A23:A689,A23,Clean_Data!T23:T689,FALSE)</f>
        <v>11</v>
      </c>
      <c r="C23">
        <f>COUNTIFS(Clean_Data!A23:A689,A23,Clean_Data!T23:T689,TRUE)</f>
        <v>2</v>
      </c>
    </row>
    <row r="24" spans="1:3">
      <c r="A24" s="1" t="s">
        <v>28</v>
      </c>
      <c r="B24">
        <f>COUNTIFS(Clean_Data!A24:A690,A24,Clean_Data!T24:T690,FALSE)</f>
        <v>10</v>
      </c>
      <c r="C24">
        <f>COUNTIFS(Clean_Data!A24:A690,A24,Clean_Data!T24:T690,TRUE)</f>
        <v>3</v>
      </c>
    </row>
    <row r="25" spans="1:3">
      <c r="A25" s="1" t="s">
        <v>32</v>
      </c>
      <c r="B25">
        <f>COUNTIFS(Clean_Data!A25:A691,A25,Clean_Data!T25:T691,FALSE)</f>
        <v>10</v>
      </c>
      <c r="C25">
        <f>COUNTIFS(Clean_Data!A25:A691,A25,Clean_Data!T25:T691,TRUE)</f>
        <v>2</v>
      </c>
    </row>
    <row r="26" spans="1:3">
      <c r="A26" s="1" t="s">
        <v>43</v>
      </c>
      <c r="B26">
        <f>COUNTIFS(Clean_Data!A26:A692,A26,Clean_Data!T26:T692,FALSE)</f>
        <v>10</v>
      </c>
      <c r="C26">
        <f>COUNTIFS(Clean_Data!A26:A692,A26,Clean_Data!T26:T692,TRUE)</f>
        <v>2</v>
      </c>
    </row>
    <row r="27" spans="1:3">
      <c r="A27" s="1" t="s">
        <v>49</v>
      </c>
      <c r="B27">
        <f>COUNTIFS(Clean_Data!A27:A693,A27,Clean_Data!T27:T693,FALSE)</f>
        <v>14</v>
      </c>
      <c r="C27">
        <f>COUNTIFS(Clean_Data!A27:A693,A27,Clean_Data!T27:T693,TRUE)</f>
        <v>3</v>
      </c>
    </row>
    <row r="28" spans="1:3">
      <c r="A28" s="1" t="s">
        <v>34</v>
      </c>
      <c r="B28">
        <f>COUNTIFS(Clean_Data!A28:A694,A28,Clean_Data!T28:T694,FALSE)</f>
        <v>10</v>
      </c>
      <c r="C28">
        <f>COUNTIFS(Clean_Data!A28:A694,A28,Clean_Data!T28:T694,TRUE)</f>
        <v>4</v>
      </c>
    </row>
    <row r="29" spans="1:3">
      <c r="A29" s="1" t="s">
        <v>53</v>
      </c>
      <c r="B29">
        <f>COUNTIFS(Clean_Data!A29:A695,A29,Clean_Data!T29:T695,FALSE)</f>
        <v>10</v>
      </c>
      <c r="C29">
        <f>COUNTIFS(Clean_Data!A29:A695,A29,Clean_Data!T29:T695,TRUE)</f>
        <v>2</v>
      </c>
    </row>
    <row r="30" spans="1:3">
      <c r="A30" s="1" t="s">
        <v>68</v>
      </c>
      <c r="B30">
        <f>COUNTIFS(Clean_Data!A30:A696,A30,Clean_Data!T30:T696,FALSE)</f>
        <v>16</v>
      </c>
      <c r="C30">
        <f>COUNTIFS(Clean_Data!A30:A696,A30,Clean_Data!T30:T696,TRUE)</f>
        <v>2</v>
      </c>
    </row>
    <row r="31" spans="1:3">
      <c r="A31" s="1" t="s">
        <v>41</v>
      </c>
      <c r="B31">
        <f>COUNTIFS(Clean_Data!A31:A697,A31,Clean_Data!T31:T697,FALSE)</f>
        <v>14</v>
      </c>
      <c r="C31">
        <f>COUNTIFS(Clean_Data!A31:A697,A31,Clean_Data!T31:T697,TRUE)</f>
        <v>1</v>
      </c>
    </row>
    <row r="32" spans="1:3">
      <c r="A32" s="1" t="s">
        <v>45</v>
      </c>
      <c r="B32">
        <f>COUNTIFS(Clean_Data!A32:A698,A32,Clean_Data!T32:T698,FALSE)</f>
        <v>13</v>
      </c>
      <c r="C32">
        <f>COUNTIFS(Clean_Data!A32:A698,A32,Clean_Data!T32:T698,TRUE)</f>
        <v>0</v>
      </c>
    </row>
    <row r="33" spans="1:3">
      <c r="A33" s="1" t="s">
        <v>64</v>
      </c>
      <c r="B33">
        <f>COUNTIFS(Clean_Data!A33:A699,A33,Clean_Data!T33:T699,FALSE)</f>
        <v>14</v>
      </c>
      <c r="C33">
        <f>COUNTIFS(Clean_Data!A33:A699,A33,Clean_Data!T33:T699,TRUE)</f>
        <v>4</v>
      </c>
    </row>
    <row r="34" spans="1:3">
      <c r="A34" s="1" t="s">
        <v>46</v>
      </c>
      <c r="B34">
        <f>COUNTIFS(Clean_Data!A34:A700,A34,Clean_Data!T34:T700,FALSE)</f>
        <v>15</v>
      </c>
      <c r="C34">
        <f>COUNTIFS(Clean_Data!A34:A700,A34,Clean_Data!T34:T700,TRUE)</f>
        <v>2</v>
      </c>
    </row>
    <row r="35" spans="1:3">
      <c r="A35" s="1" t="s">
        <v>60</v>
      </c>
      <c r="B35">
        <f>COUNTIFS(Clean_Data!A35:A701,A35,Clean_Data!T35:T701,FALSE)</f>
        <v>4</v>
      </c>
      <c r="C35">
        <f>COUNTIFS(Clean_Data!A35:A701,A35,Clean_Data!T35:T701,TRUE)</f>
        <v>1</v>
      </c>
    </row>
    <row r="36" spans="1:3">
      <c r="A36" s="1" t="s">
        <v>23</v>
      </c>
      <c r="B36">
        <f>COUNTIFS(Clean_Data!A36:A702,A36,Clean_Data!T36:T702,FALSE)</f>
        <v>12</v>
      </c>
      <c r="C36">
        <f>COUNTIFS(Clean_Data!A36:A702,A36,Clean_Data!T36:T702,TRUE)</f>
        <v>2</v>
      </c>
    </row>
    <row r="37" spans="1:3">
      <c r="A37" s="1" t="s">
        <v>42</v>
      </c>
      <c r="B37">
        <f>COUNTIFS(Clean_Data!A37:A703,A37,Clean_Data!T37:T703,FALSE)</f>
        <v>11</v>
      </c>
      <c r="C37">
        <f>COUNTIFS(Clean_Data!A37:A703,A37,Clean_Data!T37:T703,TRUE)</f>
        <v>0</v>
      </c>
    </row>
    <row r="38" spans="1:3">
      <c r="A38" s="1" t="s">
        <v>55</v>
      </c>
      <c r="B38">
        <f>COUNTIFS(Clean_Data!A38:A704,A38,Clean_Data!T38:T704,FALSE)</f>
        <v>7</v>
      </c>
      <c r="C38">
        <f>COUNTIFS(Clean_Data!A38:A704,A38,Clean_Data!T38:T704,TRUE)</f>
        <v>2</v>
      </c>
    </row>
    <row r="39" spans="1:3">
      <c r="A39" s="1" t="s">
        <v>47</v>
      </c>
      <c r="B39">
        <f>COUNTIFS(Clean_Data!A39:A705,A39,Clean_Data!T39:T705,FALSE)</f>
        <v>11</v>
      </c>
      <c r="C39">
        <f>COUNTIFS(Clean_Data!A39:A705,A39,Clean_Data!T39:T705,TRUE)</f>
        <v>4</v>
      </c>
    </row>
    <row r="40" spans="1:3">
      <c r="A40" s="1" t="s">
        <v>67</v>
      </c>
      <c r="B40">
        <f>COUNTIFS(Clean_Data!A40:A706,A40,Clean_Data!T40:T706,FALSE)</f>
        <v>9</v>
      </c>
      <c r="C40">
        <f>COUNTIFS(Clean_Data!A40:A706,A40,Clean_Data!T40:T706,TRUE)</f>
        <v>0</v>
      </c>
    </row>
    <row r="41" spans="1:3">
      <c r="A41" s="1" t="s">
        <v>57</v>
      </c>
      <c r="B41">
        <f>COUNTIFS(Clean_Data!A41:A707,A41,Clean_Data!T41:T707,FALSE)</f>
        <v>14</v>
      </c>
      <c r="C41">
        <f>COUNTIFS(Clean_Data!A41:A707,A41,Clean_Data!T41:T707,TRUE)</f>
        <v>3</v>
      </c>
    </row>
    <row r="42" spans="1:3">
      <c r="A42" s="1" t="s">
        <v>24</v>
      </c>
      <c r="B42">
        <f>COUNTIFS(Clean_Data!A42:A708,A42,Clean_Data!T42:T708,FALSE)</f>
        <v>7</v>
      </c>
      <c r="C42">
        <f>COUNTIFS(Clean_Data!A42:A708,A42,Clean_Data!T42:T708,TRUE)</f>
        <v>3</v>
      </c>
    </row>
    <row r="43" spans="1:3">
      <c r="A43" s="1" t="s">
        <v>54</v>
      </c>
      <c r="B43">
        <f>COUNTIFS(Clean_Data!A43:A709,A43,Clean_Data!T43:T709,FALSE)</f>
        <v>9</v>
      </c>
      <c r="C43">
        <f>COUNTIFS(Clean_Data!A43:A709,A43,Clean_Data!T43:T709,TRUE)</f>
        <v>2</v>
      </c>
    </row>
    <row r="44" spans="1:3">
      <c r="A44" s="1" t="s">
        <v>70</v>
      </c>
      <c r="B44">
        <f>COUNTIFS(Clean_Data!A44:A710,A44,Clean_Data!T44:T710,FALSE)</f>
        <v>12</v>
      </c>
      <c r="C44">
        <f>COUNTIFS(Clean_Data!A44:A710,A44,Clean_Data!T44:T710,TRUE)</f>
        <v>0</v>
      </c>
    </row>
    <row r="45" spans="1:3">
      <c r="A45" s="1" t="s">
        <v>48</v>
      </c>
      <c r="B45">
        <f>COUNTIFS(Clean_Data!A45:A711,A45,Clean_Data!T45:T711,FALSE)</f>
        <v>15</v>
      </c>
      <c r="C45">
        <f>COUNTIFS(Clean_Data!A45:A711,A45,Clean_Data!T45:T711,TRUE)</f>
        <v>1</v>
      </c>
    </row>
    <row r="46" spans="1:3">
      <c r="A46" s="1" t="s">
        <v>59</v>
      </c>
      <c r="B46">
        <f>COUNTIFS(Clean_Data!A46:A712,A46,Clean_Data!T46:T712,FALSE)</f>
        <v>10</v>
      </c>
      <c r="C46">
        <f>COUNTIFS(Clean_Data!A46:A712,A46,Clean_Data!T46:T712,TRUE)</f>
        <v>2</v>
      </c>
    </row>
    <row r="47" spans="1:3">
      <c r="A47" s="1" t="s">
        <v>30</v>
      </c>
      <c r="B47">
        <f>COUNTIFS(Clean_Data!A47:A713,A47,Clean_Data!T47:T713,FALSE)</f>
        <v>8</v>
      </c>
      <c r="C47">
        <f>COUNTIFS(Clean_Data!A47:A713,A47,Clean_Data!T47:T713,TRUE)</f>
        <v>1</v>
      </c>
    </row>
    <row r="48" spans="1:3">
      <c r="A48" s="1" t="s">
        <v>33</v>
      </c>
      <c r="B48">
        <f>COUNTIFS(Clean_Data!A48:A714,A48,Clean_Data!T48:T714,FALSE)</f>
        <v>13</v>
      </c>
      <c r="C48">
        <f>COUNTIFS(Clean_Data!A48:A714,A48,Clean_Data!T48:T714,TRUE)</f>
        <v>2</v>
      </c>
    </row>
    <row r="49" spans="1:3">
      <c r="A49" s="1" t="s">
        <v>40</v>
      </c>
      <c r="B49">
        <f>COUNTIFS(Clean_Data!A49:A715,A49,Clean_Data!T49:T715,FALSE)</f>
        <v>13</v>
      </c>
      <c r="C49">
        <f>COUNTIFS(Clean_Data!A49:A715,A49,Clean_Data!T49:T715,TRUE)</f>
        <v>4</v>
      </c>
    </row>
    <row r="50" spans="1:3">
      <c r="A50" s="1" t="s">
        <v>31</v>
      </c>
      <c r="B50">
        <f>COUNTIFS(Clean_Data!A50:A716,A50,Clean_Data!T50:T716,FALSE)</f>
        <v>13</v>
      </c>
      <c r="C50">
        <f>COUNTIFS(Clean_Data!A50:A716,A50,Clean_Data!T50:T716,TRUE)</f>
        <v>3</v>
      </c>
    </row>
    <row r="51" spans="1:3">
      <c r="A51" s="1" t="s">
        <v>66</v>
      </c>
      <c r="B51">
        <f>COUNTIFS(Clean_Data!A51:A717,A51,Clean_Data!T51:T717,FALSE)</f>
        <v>15</v>
      </c>
      <c r="C51">
        <f>COUNTIFS(Clean_Data!A51:A717,A51,Clean_Data!T51:T717,TRUE)</f>
        <v>3</v>
      </c>
    </row>
    <row r="52" spans="1:3">
      <c r="A52" s="1" t="s">
        <v>50</v>
      </c>
      <c r="B52">
        <f>COUNTIFS(Clean_Data!A52:A718,A52,Clean_Data!T52:T718,FALSE)</f>
        <v>9</v>
      </c>
      <c r="C52">
        <f>COUNTIFS(Clean_Data!A52:A718,A52,Clean_Data!T52:T718,TRUE)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2" sqref="B2"/>
    </sheetView>
  </sheetViews>
  <sheetFormatPr defaultRowHeight="14.45"/>
  <cols>
    <col min="1" max="1" width="16.85546875" customWidth="1"/>
    <col min="2" max="2" width="18.85546875" customWidth="1"/>
  </cols>
  <sheetData>
    <row r="1" spans="1:2">
      <c r="A1" s="1" t="s">
        <v>3</v>
      </c>
      <c r="B1" s="1" t="s">
        <v>6</v>
      </c>
    </row>
    <row r="2" spans="1:2">
      <c r="A2" s="1" t="s">
        <v>21</v>
      </c>
      <c r="B2">
        <f>AVERAGEIF(Raw_Data!D2:D668,"No",Raw_Data!G2:G668)</f>
        <v>180.11840390879487</v>
      </c>
    </row>
    <row r="3" spans="1:2">
      <c r="A3" s="1" t="s">
        <v>27</v>
      </c>
      <c r="B3">
        <f>AVERAGEIF(Raw_Data!D2:D669,"Yes",Raw_Data!G2:G669)</f>
        <v>190.56037735849054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F12" sqref="F12"/>
    </sheetView>
  </sheetViews>
  <sheetFormatPr defaultRowHeight="14.45"/>
  <cols>
    <col min="1" max="1" width="19" customWidth="1"/>
  </cols>
  <sheetData>
    <row r="1" spans="1:3">
      <c r="A1" s="1" t="s">
        <v>18</v>
      </c>
      <c r="B1" s="1" t="b">
        <v>0</v>
      </c>
      <c r="C1" s="1" t="b">
        <v>1</v>
      </c>
    </row>
    <row r="2" spans="1:3">
      <c r="A2" s="1">
        <v>0</v>
      </c>
      <c r="B2">
        <f>COUNTIFS(Raw_Data!S2:S668,A2,Raw_Data!T2:T668,FALSE)</f>
        <v>129</v>
      </c>
      <c r="C2">
        <f>COUNTIFS(Raw_Data!S2:S668,A2,Raw_Data!T2:T668,TRUE)</f>
        <v>13</v>
      </c>
    </row>
    <row r="3" spans="1:3">
      <c r="A3" s="1">
        <v>1</v>
      </c>
      <c r="B3">
        <f>COUNTIFS(Raw_Data!S3:S669,A3,Raw_Data!T3:T669,FALSE)</f>
        <v>212</v>
      </c>
      <c r="C3">
        <f>COUNTIFS(Raw_Data!S3:S669,A3,Raw_Data!T3:T669,TRUE)</f>
        <v>23</v>
      </c>
    </row>
    <row r="4" spans="1:3">
      <c r="A4" s="1">
        <v>2</v>
      </c>
      <c r="B4">
        <f>COUNTIFS(Raw_Data!S4:S670,A4,Raw_Data!T4:T670,FALSE)</f>
        <v>126</v>
      </c>
      <c r="C4">
        <f>COUNTIFS(Raw_Data!S4:S670,A4,Raw_Data!T4:T670,TRUE)</f>
        <v>25</v>
      </c>
    </row>
    <row r="5" spans="1:3">
      <c r="A5" s="1">
        <v>3</v>
      </c>
      <c r="B5">
        <f>COUNTIFS(Raw_Data!S5:S671,A5,Raw_Data!T5:T671,FALSE)</f>
        <v>74</v>
      </c>
      <c r="C5">
        <f>COUNTIFS(Raw_Data!S5:S671,A5,Raw_Data!T5:T671,TRUE)</f>
        <v>7</v>
      </c>
    </row>
    <row r="6" spans="1:3">
      <c r="A6" s="1">
        <v>4</v>
      </c>
      <c r="B6">
        <f>COUNTIFS(Raw_Data!S6:S672,A6,Raw_Data!T6:T672,FALSE)</f>
        <v>21</v>
      </c>
      <c r="C6">
        <f>COUNTIFS(Raw_Data!S6:S672,A6,Raw_Data!T6:T672,TRUE)</f>
        <v>10</v>
      </c>
    </row>
    <row r="7" spans="1:3">
      <c r="A7" s="1">
        <v>5</v>
      </c>
      <c r="B7">
        <f>COUNTIFS(Raw_Data!S7:S673,A7,Raw_Data!T7:T673,FALSE)</f>
        <v>6</v>
      </c>
      <c r="C7">
        <f>COUNTIFS(Raw_Data!S7:S673,A7,Raw_Data!T7:T673,TRUE)</f>
        <v>11</v>
      </c>
    </row>
    <row r="8" spans="1:3">
      <c r="A8" s="1">
        <v>6</v>
      </c>
      <c r="B8">
        <f>COUNTIFS(Raw_Data!S8:S674,A8,Raw_Data!T8:T674,FALSE)</f>
        <v>1</v>
      </c>
      <c r="C8">
        <f>COUNTIFS(Raw_Data!S8:S674,A8,Raw_Data!T8:T674,TRUE)</f>
        <v>4</v>
      </c>
    </row>
    <row r="9" spans="1:3">
      <c r="A9" s="1">
        <v>7</v>
      </c>
      <c r="B9">
        <f>COUNTIFS(Raw_Data!S9:S675,A9,Raw_Data!T9:T675,FALSE)</f>
        <v>1</v>
      </c>
      <c r="C9">
        <f>COUNTIFS(Raw_Data!S9:S675,A9,Raw_Data!T9:T675,TRUE)</f>
        <v>0</v>
      </c>
    </row>
    <row r="10" spans="1:3">
      <c r="A10" s="1">
        <v>8</v>
      </c>
      <c r="B10">
        <f>COUNTIFS(Raw_Data!S10:S676,A10,Raw_Data!T10:T676,FALSE)</f>
        <v>1</v>
      </c>
      <c r="C10">
        <f>COUNTIFS(Raw_Data!S10:S676,A10,Raw_Data!T10:T676,TRUE)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6" sqref="B6"/>
    </sheetView>
  </sheetViews>
  <sheetFormatPr defaultRowHeight="14.45"/>
  <cols>
    <col min="1" max="1" width="21.140625" customWidth="1"/>
    <col min="2" max="2" width="14.85546875" customWidth="1"/>
  </cols>
  <sheetData>
    <row r="1" spans="1:2">
      <c r="A1" s="1" t="s">
        <v>74</v>
      </c>
      <c r="B1" s="1" t="s">
        <v>75</v>
      </c>
    </row>
    <row r="2" spans="1:2">
      <c r="A2" t="s">
        <v>76</v>
      </c>
      <c r="B2">
        <f>AVERAGE(Raw_Data!G2:G668)</f>
        <v>180.94812593703156</v>
      </c>
    </row>
    <row r="3" spans="1:2">
      <c r="A3" t="s">
        <v>77</v>
      </c>
      <c r="B3">
        <f>MAX(Raw_Data!G2:G668)</f>
        <v>334.3</v>
      </c>
    </row>
    <row r="4" spans="1:2">
      <c r="A4" t="s">
        <v>78</v>
      </c>
      <c r="B4">
        <f>MIN(Raw_Data!G2:G668)</f>
        <v>25.9</v>
      </c>
    </row>
    <row r="5" spans="1:2">
      <c r="A5" t="s">
        <v>79</v>
      </c>
      <c r="B5">
        <f>COUNT(Raw_Data!G2:G668)</f>
        <v>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5A0-9ADC-4FB2-B7F6-C7F873680619}">
  <dimension ref="A3:M56"/>
  <sheetViews>
    <sheetView tabSelected="1" topLeftCell="A30" workbookViewId="0">
      <selection activeCell="L40" sqref="L40"/>
    </sheetView>
  </sheetViews>
  <sheetFormatPr defaultRowHeight="14.45"/>
  <cols>
    <col min="1" max="1" width="13.28515625" bestFit="1" customWidth="1"/>
    <col min="2" max="2" width="15.5703125" bestFit="1" customWidth="1"/>
    <col min="3" max="3" width="5.42578125" bestFit="1" customWidth="1"/>
    <col min="4" max="4" width="10.7109375" bestFit="1" customWidth="1"/>
    <col min="6" max="6" width="12.5703125" bestFit="1" customWidth="1"/>
    <col min="7" max="7" width="22.7109375" bestFit="1" customWidth="1"/>
    <col min="9" max="9" width="13.28515625" bestFit="1" customWidth="1"/>
    <col min="10" max="10" width="15.5703125" bestFit="1" customWidth="1"/>
    <col min="11" max="11" width="5.42578125" bestFit="1" customWidth="1"/>
    <col min="12" max="12" width="10.7109375" bestFit="1" customWidth="1"/>
  </cols>
  <sheetData>
    <row r="3" spans="1:12">
      <c r="A3" s="2" t="s">
        <v>80</v>
      </c>
      <c r="B3" s="2" t="s">
        <v>81</v>
      </c>
    </row>
    <row r="4" spans="1:12">
      <c r="A4" s="2" t="s">
        <v>82</v>
      </c>
      <c r="B4" t="s">
        <v>83</v>
      </c>
      <c r="C4" t="s">
        <v>84</v>
      </c>
      <c r="D4" t="s">
        <v>85</v>
      </c>
    </row>
    <row r="5" spans="1:12">
      <c r="A5" s="3" t="s">
        <v>26</v>
      </c>
      <c r="B5">
        <v>9</v>
      </c>
      <c r="D5">
        <v>9</v>
      </c>
      <c r="F5" s="2" t="s">
        <v>82</v>
      </c>
      <c r="G5" t="s">
        <v>86</v>
      </c>
      <c r="I5" s="2" t="s">
        <v>80</v>
      </c>
      <c r="J5" s="2" t="s">
        <v>81</v>
      </c>
    </row>
    <row r="6" spans="1:12">
      <c r="A6" s="3" t="s">
        <v>44</v>
      </c>
      <c r="B6">
        <v>13</v>
      </c>
      <c r="C6">
        <v>1</v>
      </c>
      <c r="D6">
        <v>14</v>
      </c>
      <c r="F6" s="3" t="s">
        <v>21</v>
      </c>
      <c r="G6">
        <v>110592.70000000006</v>
      </c>
      <c r="I6" s="2" t="s">
        <v>82</v>
      </c>
      <c r="J6" t="s">
        <v>83</v>
      </c>
      <c r="K6" t="s">
        <v>84</v>
      </c>
      <c r="L6" t="s">
        <v>85</v>
      </c>
    </row>
    <row r="7" spans="1:12">
      <c r="A7" s="3" t="s">
        <v>69</v>
      </c>
      <c r="B7">
        <v>8</v>
      </c>
      <c r="D7">
        <v>8</v>
      </c>
      <c r="F7" s="3" t="s">
        <v>27</v>
      </c>
      <c r="G7">
        <v>10099.699999999999</v>
      </c>
      <c r="I7" s="3">
        <v>0</v>
      </c>
      <c r="J7">
        <v>129</v>
      </c>
      <c r="K7">
        <v>13</v>
      </c>
      <c r="L7">
        <v>142</v>
      </c>
    </row>
    <row r="8" spans="1:12">
      <c r="A8" s="3" t="s">
        <v>38</v>
      </c>
      <c r="B8">
        <v>18</v>
      </c>
      <c r="C8">
        <v>1</v>
      </c>
      <c r="D8">
        <v>19</v>
      </c>
      <c r="F8" s="3" t="s">
        <v>85</v>
      </c>
      <c r="G8">
        <v>120692.40000000005</v>
      </c>
      <c r="I8" s="3">
        <v>1</v>
      </c>
      <c r="J8">
        <v>213</v>
      </c>
      <c r="K8">
        <v>23</v>
      </c>
      <c r="L8">
        <v>236</v>
      </c>
    </row>
    <row r="9" spans="1:12">
      <c r="A9" s="3" t="s">
        <v>39</v>
      </c>
      <c r="B9">
        <v>6</v>
      </c>
      <c r="C9">
        <v>4</v>
      </c>
      <c r="D9">
        <v>10</v>
      </c>
      <c r="I9" s="3">
        <v>2</v>
      </c>
      <c r="J9">
        <v>126</v>
      </c>
      <c r="K9">
        <v>25</v>
      </c>
      <c r="L9">
        <v>151</v>
      </c>
    </row>
    <row r="10" spans="1:12">
      <c r="A10" s="3" t="s">
        <v>37</v>
      </c>
      <c r="B10">
        <v>5</v>
      </c>
      <c r="C10">
        <v>2</v>
      </c>
      <c r="D10">
        <v>7</v>
      </c>
      <c r="I10" s="3">
        <v>3</v>
      </c>
      <c r="J10">
        <v>74</v>
      </c>
      <c r="K10">
        <v>7</v>
      </c>
      <c r="L10">
        <v>81</v>
      </c>
    </row>
    <row r="11" spans="1:12">
      <c r="A11" s="3" t="s">
        <v>56</v>
      </c>
      <c r="B11">
        <v>14</v>
      </c>
      <c r="C11">
        <v>1</v>
      </c>
      <c r="D11">
        <v>15</v>
      </c>
      <c r="I11" s="3">
        <v>4</v>
      </c>
      <c r="J11">
        <v>21</v>
      </c>
      <c r="K11">
        <v>12</v>
      </c>
      <c r="L11">
        <v>33</v>
      </c>
    </row>
    <row r="12" spans="1:12">
      <c r="A12" s="3" t="s">
        <v>61</v>
      </c>
      <c r="B12">
        <v>9</v>
      </c>
      <c r="D12">
        <v>9</v>
      </c>
      <c r="I12" s="3">
        <v>5</v>
      </c>
      <c r="J12">
        <v>6</v>
      </c>
      <c r="K12">
        <v>11</v>
      </c>
      <c r="L12">
        <v>17</v>
      </c>
    </row>
    <row r="13" spans="1:12">
      <c r="A13" s="3" t="s">
        <v>58</v>
      </c>
      <c r="B13">
        <v>9</v>
      </c>
      <c r="C13">
        <v>1</v>
      </c>
      <c r="D13">
        <v>10</v>
      </c>
      <c r="I13" s="3">
        <v>6</v>
      </c>
      <c r="J13">
        <v>1</v>
      </c>
      <c r="K13">
        <v>4</v>
      </c>
      <c r="L13">
        <v>5</v>
      </c>
    </row>
    <row r="14" spans="1:12">
      <c r="A14" s="3" t="s">
        <v>51</v>
      </c>
      <c r="B14">
        <v>8</v>
      </c>
      <c r="C14">
        <v>1</v>
      </c>
      <c r="D14">
        <v>9</v>
      </c>
      <c r="I14" s="3">
        <v>7</v>
      </c>
      <c r="J14">
        <v>1</v>
      </c>
      <c r="L14">
        <v>1</v>
      </c>
    </row>
    <row r="15" spans="1:12">
      <c r="A15" s="3" t="s">
        <v>72</v>
      </c>
      <c r="B15">
        <v>5</v>
      </c>
      <c r="D15">
        <v>5</v>
      </c>
      <c r="I15" s="3">
        <v>8</v>
      </c>
      <c r="J15">
        <v>1</v>
      </c>
      <c r="L15">
        <v>1</v>
      </c>
    </row>
    <row r="16" spans="1:12">
      <c r="A16" s="3" t="s">
        <v>25</v>
      </c>
      <c r="B16">
        <v>8</v>
      </c>
      <c r="C16">
        <v>1</v>
      </c>
      <c r="D16">
        <v>9</v>
      </c>
      <c r="I16" s="3" t="s">
        <v>85</v>
      </c>
      <c r="J16">
        <v>572</v>
      </c>
      <c r="K16">
        <v>95</v>
      </c>
      <c r="L16">
        <v>667</v>
      </c>
    </row>
    <row r="17" spans="1:4">
      <c r="A17" s="3" t="s">
        <v>71</v>
      </c>
      <c r="B17">
        <v>6</v>
      </c>
      <c r="D17">
        <v>6</v>
      </c>
    </row>
    <row r="18" spans="1:4">
      <c r="A18" s="3" t="s">
        <v>29</v>
      </c>
      <c r="B18">
        <v>13</v>
      </c>
      <c r="C18">
        <v>4</v>
      </c>
      <c r="D18">
        <v>17</v>
      </c>
    </row>
    <row r="19" spans="1:4">
      <c r="A19" s="3" t="s">
        <v>63</v>
      </c>
      <c r="B19">
        <v>12</v>
      </c>
      <c r="C19">
        <v>1</v>
      </c>
      <c r="D19">
        <v>13</v>
      </c>
    </row>
    <row r="20" spans="1:4">
      <c r="A20" s="3" t="s">
        <v>22</v>
      </c>
      <c r="B20">
        <v>14</v>
      </c>
      <c r="C20">
        <v>3</v>
      </c>
      <c r="D20">
        <v>17</v>
      </c>
    </row>
    <row r="21" spans="1:4">
      <c r="A21" s="3" t="s">
        <v>52</v>
      </c>
      <c r="B21">
        <v>15</v>
      </c>
      <c r="C21">
        <v>3</v>
      </c>
      <c r="D21">
        <v>18</v>
      </c>
    </row>
    <row r="22" spans="1:4">
      <c r="A22" s="3" t="s">
        <v>36</v>
      </c>
      <c r="B22">
        <v>14</v>
      </c>
      <c r="C22">
        <v>2</v>
      </c>
      <c r="D22">
        <v>16</v>
      </c>
    </row>
    <row r="23" spans="1:4">
      <c r="A23" s="3" t="s">
        <v>20</v>
      </c>
      <c r="B23">
        <v>15</v>
      </c>
      <c r="C23">
        <v>1</v>
      </c>
      <c r="D23">
        <v>16</v>
      </c>
    </row>
    <row r="24" spans="1:4">
      <c r="A24" s="3" t="s">
        <v>35</v>
      </c>
      <c r="B24">
        <v>10</v>
      </c>
      <c r="C24">
        <v>3</v>
      </c>
      <c r="D24">
        <v>13</v>
      </c>
    </row>
    <row r="25" spans="1:4">
      <c r="A25" s="3" t="s">
        <v>65</v>
      </c>
      <c r="B25">
        <v>7</v>
      </c>
      <c r="C25">
        <v>3</v>
      </c>
      <c r="D25">
        <v>10</v>
      </c>
    </row>
    <row r="26" spans="1:4">
      <c r="A26" s="3" t="s">
        <v>62</v>
      </c>
      <c r="B26">
        <v>11</v>
      </c>
      <c r="C26">
        <v>2</v>
      </c>
      <c r="D26">
        <v>13</v>
      </c>
    </row>
    <row r="27" spans="1:4">
      <c r="A27" s="3" t="s">
        <v>28</v>
      </c>
      <c r="B27">
        <v>12</v>
      </c>
      <c r="C27">
        <v>3</v>
      </c>
      <c r="D27">
        <v>15</v>
      </c>
    </row>
    <row r="28" spans="1:4">
      <c r="A28" s="3" t="s">
        <v>32</v>
      </c>
      <c r="B28">
        <v>12</v>
      </c>
      <c r="C28">
        <v>2</v>
      </c>
      <c r="D28">
        <v>14</v>
      </c>
    </row>
    <row r="29" spans="1:4">
      <c r="A29" s="3" t="s">
        <v>43</v>
      </c>
      <c r="B29">
        <v>10</v>
      </c>
      <c r="C29">
        <v>2</v>
      </c>
      <c r="D29">
        <v>12</v>
      </c>
    </row>
    <row r="30" spans="1:4">
      <c r="A30" s="3" t="s">
        <v>49</v>
      </c>
      <c r="B30">
        <v>14</v>
      </c>
      <c r="C30">
        <v>3</v>
      </c>
      <c r="D30">
        <v>17</v>
      </c>
    </row>
    <row r="31" spans="1:4">
      <c r="A31" s="3" t="s">
        <v>34</v>
      </c>
      <c r="B31">
        <v>11</v>
      </c>
      <c r="C31">
        <v>4</v>
      </c>
      <c r="D31">
        <v>15</v>
      </c>
    </row>
    <row r="32" spans="1:4">
      <c r="A32" s="3" t="s">
        <v>53</v>
      </c>
      <c r="B32">
        <v>10</v>
      </c>
      <c r="C32">
        <v>2</v>
      </c>
      <c r="D32">
        <v>12</v>
      </c>
    </row>
    <row r="33" spans="1:4">
      <c r="A33" s="3" t="s">
        <v>68</v>
      </c>
      <c r="B33">
        <v>16</v>
      </c>
      <c r="C33">
        <v>2</v>
      </c>
      <c r="D33">
        <v>18</v>
      </c>
    </row>
    <row r="34" spans="1:4">
      <c r="A34" s="3" t="s">
        <v>41</v>
      </c>
      <c r="B34">
        <v>15</v>
      </c>
      <c r="C34">
        <v>1</v>
      </c>
      <c r="D34">
        <v>16</v>
      </c>
    </row>
    <row r="35" spans="1:4">
      <c r="A35" s="3" t="s">
        <v>45</v>
      </c>
      <c r="B35">
        <v>13</v>
      </c>
      <c r="D35">
        <v>13</v>
      </c>
    </row>
    <row r="36" spans="1:4">
      <c r="A36" s="3" t="s">
        <v>64</v>
      </c>
      <c r="B36">
        <v>14</v>
      </c>
      <c r="C36">
        <v>4</v>
      </c>
      <c r="D36">
        <v>18</v>
      </c>
    </row>
    <row r="37" spans="1:4">
      <c r="A37" s="3" t="s">
        <v>46</v>
      </c>
      <c r="B37">
        <v>16</v>
      </c>
      <c r="C37">
        <v>2</v>
      </c>
      <c r="D37">
        <v>18</v>
      </c>
    </row>
    <row r="38" spans="1:4">
      <c r="A38" s="3" t="s">
        <v>60</v>
      </c>
      <c r="B38">
        <v>4</v>
      </c>
      <c r="C38">
        <v>1</v>
      </c>
      <c r="D38">
        <v>5</v>
      </c>
    </row>
    <row r="39" spans="1:4">
      <c r="A39" s="3" t="s">
        <v>23</v>
      </c>
      <c r="B39">
        <v>12</v>
      </c>
      <c r="C39">
        <v>3</v>
      </c>
      <c r="D39">
        <v>15</v>
      </c>
    </row>
    <row r="40" spans="1:4">
      <c r="A40" s="3" t="s">
        <v>42</v>
      </c>
      <c r="B40">
        <v>12</v>
      </c>
      <c r="D40">
        <v>12</v>
      </c>
    </row>
    <row r="41" spans="1:4">
      <c r="A41" s="3" t="s">
        <v>55</v>
      </c>
      <c r="B41">
        <v>7</v>
      </c>
      <c r="C41">
        <v>2</v>
      </c>
      <c r="D41">
        <v>9</v>
      </c>
    </row>
    <row r="42" spans="1:4">
      <c r="A42" s="3" t="s">
        <v>47</v>
      </c>
      <c r="B42">
        <v>12</v>
      </c>
      <c r="C42">
        <v>4</v>
      </c>
      <c r="D42">
        <v>16</v>
      </c>
    </row>
    <row r="43" spans="1:4">
      <c r="A43" s="3" t="s">
        <v>67</v>
      </c>
      <c r="B43">
        <v>9</v>
      </c>
      <c r="D43">
        <v>9</v>
      </c>
    </row>
    <row r="44" spans="1:4">
      <c r="A44" s="3" t="s">
        <v>57</v>
      </c>
      <c r="B44">
        <v>14</v>
      </c>
      <c r="C44">
        <v>3</v>
      </c>
      <c r="D44">
        <v>17</v>
      </c>
    </row>
    <row r="45" spans="1:4">
      <c r="A45" s="3" t="s">
        <v>24</v>
      </c>
      <c r="B45">
        <v>8</v>
      </c>
      <c r="C45">
        <v>3</v>
      </c>
      <c r="D45">
        <v>11</v>
      </c>
    </row>
    <row r="46" spans="1:4">
      <c r="A46" s="3" t="s">
        <v>54</v>
      </c>
      <c r="B46">
        <v>9</v>
      </c>
      <c r="C46">
        <v>2</v>
      </c>
      <c r="D46">
        <v>11</v>
      </c>
    </row>
    <row r="47" spans="1:4">
      <c r="A47" s="3" t="s">
        <v>70</v>
      </c>
      <c r="B47">
        <v>12</v>
      </c>
      <c r="D47">
        <v>12</v>
      </c>
    </row>
    <row r="48" spans="1:4">
      <c r="A48" s="3" t="s">
        <v>48</v>
      </c>
      <c r="B48">
        <v>15</v>
      </c>
      <c r="C48">
        <v>2</v>
      </c>
      <c r="D48">
        <v>17</v>
      </c>
    </row>
    <row r="49" spans="1:13">
      <c r="A49" s="3" t="s">
        <v>59</v>
      </c>
      <c r="B49">
        <v>10</v>
      </c>
      <c r="C49">
        <v>2</v>
      </c>
      <c r="D49">
        <v>12</v>
      </c>
    </row>
    <row r="50" spans="1:13">
      <c r="A50" s="3" t="s">
        <v>30</v>
      </c>
      <c r="B50">
        <v>9</v>
      </c>
      <c r="C50">
        <v>1</v>
      </c>
      <c r="D50">
        <v>10</v>
      </c>
    </row>
    <row r="51" spans="1:13">
      <c r="A51" s="3" t="s">
        <v>33</v>
      </c>
      <c r="B51">
        <v>14</v>
      </c>
      <c r="C51">
        <v>2</v>
      </c>
      <c r="D51">
        <v>16</v>
      </c>
    </row>
    <row r="52" spans="1:13">
      <c r="A52" s="3" t="s">
        <v>40</v>
      </c>
      <c r="B52">
        <v>14</v>
      </c>
      <c r="C52">
        <v>4</v>
      </c>
      <c r="D52">
        <v>18</v>
      </c>
    </row>
    <row r="53" spans="1:13">
      <c r="A53" s="3" t="s">
        <v>31</v>
      </c>
      <c r="B53">
        <v>14</v>
      </c>
      <c r="C53">
        <v>3</v>
      </c>
      <c r="D53">
        <v>17</v>
      </c>
    </row>
    <row r="54" spans="1:13">
      <c r="A54" s="3" t="s">
        <v>66</v>
      </c>
      <c r="B54">
        <v>15</v>
      </c>
      <c r="C54">
        <v>3</v>
      </c>
      <c r="D54">
        <v>18</v>
      </c>
      <c r="M54" t="s">
        <v>87</v>
      </c>
    </row>
    <row r="55" spans="1:13">
      <c r="A55" s="3" t="s">
        <v>50</v>
      </c>
      <c r="B55">
        <v>10</v>
      </c>
      <c r="C55">
        <v>1</v>
      </c>
      <c r="D55">
        <v>11</v>
      </c>
    </row>
    <row r="56" spans="1:13">
      <c r="A56" s="3" t="s">
        <v>85</v>
      </c>
      <c r="B56">
        <v>572</v>
      </c>
      <c r="C56">
        <v>95</v>
      </c>
      <c r="D56">
        <v>667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2026-03-21T05:45:47Z</dcterms:created>
  <dcterms:modified xsi:type="dcterms:W3CDTF">2026-04-05T12:36:52Z</dcterms:modified>
  <cp:category/>
  <cp:contentStatus/>
</cp:coreProperties>
</file>