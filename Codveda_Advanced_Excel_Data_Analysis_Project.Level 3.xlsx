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d.docs.live.net/E49421F81A692AA4/Documents/"/>
    </mc:Choice>
  </mc:AlternateContent>
  <xr:revisionPtr revIDLastSave="0" documentId="8_{633BBC95-0353-4C05-80B0-001FA6F61D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ower Query" sheetId="5" r:id="rId1"/>
    <sheet name="Raw_Data" sheetId="1" r:id="rId2"/>
    <sheet name="Power_Query_Steps" sheetId="2" r:id="rId3"/>
    <sheet name="Scenario_Analysis" sheetId="4" r:id="rId4"/>
  </sheets>
  <definedNames>
    <definedName name="_xlcn.WorksheetConnection_Level3_Final_Project.xlsxchurn_bigml_20" hidden="1">churn_bigml_20[]</definedName>
    <definedName name="_xlcn.WorksheetConnection_Level3_Final_Project.xlsxTable2" hidden="1">Table2</definedName>
    <definedName name="ExternalData_1" localSheetId="0" hidden="1">'Power Query'!$A$1:$T$52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Table2" connection="WorksheetConnection_Level3_Final_Project.xlsx!Table2"/>
          <x15:modelTable id="churn_bigml_20" name="churn_bigml_20" connection="WorksheetConnection_Level3_Final_Project.xlsx!churn_bigml_2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  <c r="Y668" i="1"/>
  <c r="X668" i="1"/>
  <c r="W668" i="1"/>
  <c r="V668" i="1"/>
  <c r="U668" i="1"/>
  <c r="Y667" i="1"/>
  <c r="X667" i="1"/>
  <c r="W667" i="1"/>
  <c r="V667" i="1"/>
  <c r="U667" i="1"/>
  <c r="Y666" i="1"/>
  <c r="X666" i="1"/>
  <c r="W666" i="1"/>
  <c r="V666" i="1"/>
  <c r="U666" i="1"/>
  <c r="Y665" i="1"/>
  <c r="X665" i="1"/>
  <c r="W665" i="1"/>
  <c r="V665" i="1"/>
  <c r="U665" i="1"/>
  <c r="Y664" i="1"/>
  <c r="X664" i="1"/>
  <c r="W664" i="1"/>
  <c r="V664" i="1"/>
  <c r="U664" i="1"/>
  <c r="Y663" i="1"/>
  <c r="X663" i="1"/>
  <c r="W663" i="1"/>
  <c r="V663" i="1"/>
  <c r="U663" i="1"/>
  <c r="Y662" i="1"/>
  <c r="X662" i="1"/>
  <c r="W662" i="1"/>
  <c r="V662" i="1"/>
  <c r="U662" i="1"/>
  <c r="Y661" i="1"/>
  <c r="X661" i="1"/>
  <c r="W661" i="1"/>
  <c r="V661" i="1"/>
  <c r="U661" i="1"/>
  <c r="Y660" i="1"/>
  <c r="X660" i="1"/>
  <c r="W660" i="1"/>
  <c r="V660" i="1"/>
  <c r="U660" i="1"/>
  <c r="Y659" i="1"/>
  <c r="X659" i="1"/>
  <c r="W659" i="1"/>
  <c r="V659" i="1"/>
  <c r="U659" i="1"/>
  <c r="Y658" i="1"/>
  <c r="X658" i="1"/>
  <c r="W658" i="1"/>
  <c r="V658" i="1"/>
  <c r="U658" i="1"/>
  <c r="Y657" i="1"/>
  <c r="X657" i="1"/>
  <c r="W657" i="1"/>
  <c r="V657" i="1"/>
  <c r="U657" i="1"/>
  <c r="Y656" i="1"/>
  <c r="X656" i="1"/>
  <c r="W656" i="1"/>
  <c r="V656" i="1"/>
  <c r="U656" i="1"/>
  <c r="Y655" i="1"/>
  <c r="X655" i="1"/>
  <c r="W655" i="1"/>
  <c r="V655" i="1"/>
  <c r="U655" i="1"/>
  <c r="Y654" i="1"/>
  <c r="X654" i="1"/>
  <c r="W654" i="1"/>
  <c r="V654" i="1"/>
  <c r="U654" i="1"/>
  <c r="Y653" i="1"/>
  <c r="X653" i="1"/>
  <c r="W653" i="1"/>
  <c r="V653" i="1"/>
  <c r="U653" i="1"/>
  <c r="Y652" i="1"/>
  <c r="X652" i="1"/>
  <c r="W652" i="1"/>
  <c r="V652" i="1"/>
  <c r="U652" i="1"/>
  <c r="Y651" i="1"/>
  <c r="X651" i="1"/>
  <c r="W651" i="1"/>
  <c r="V651" i="1"/>
  <c r="U651" i="1"/>
  <c r="Y650" i="1"/>
  <c r="X650" i="1"/>
  <c r="W650" i="1"/>
  <c r="V650" i="1"/>
  <c r="U650" i="1"/>
  <c r="Y649" i="1"/>
  <c r="X649" i="1"/>
  <c r="W649" i="1"/>
  <c r="V649" i="1"/>
  <c r="U649" i="1"/>
  <c r="Y648" i="1"/>
  <c r="X648" i="1"/>
  <c r="W648" i="1"/>
  <c r="V648" i="1"/>
  <c r="U648" i="1"/>
  <c r="Y647" i="1"/>
  <c r="X647" i="1"/>
  <c r="W647" i="1"/>
  <c r="V647" i="1"/>
  <c r="U647" i="1"/>
  <c r="Y646" i="1"/>
  <c r="X646" i="1"/>
  <c r="W646" i="1"/>
  <c r="V646" i="1"/>
  <c r="U646" i="1"/>
  <c r="Y645" i="1"/>
  <c r="X645" i="1"/>
  <c r="W645" i="1"/>
  <c r="V645" i="1"/>
  <c r="U645" i="1"/>
  <c r="Y644" i="1"/>
  <c r="X644" i="1"/>
  <c r="W644" i="1"/>
  <c r="V644" i="1"/>
  <c r="U644" i="1"/>
  <c r="Y643" i="1"/>
  <c r="X643" i="1"/>
  <c r="W643" i="1"/>
  <c r="V643" i="1"/>
  <c r="U643" i="1"/>
  <c r="Y642" i="1"/>
  <c r="X642" i="1"/>
  <c r="W642" i="1"/>
  <c r="V642" i="1"/>
  <c r="U642" i="1"/>
  <c r="Y641" i="1"/>
  <c r="X641" i="1"/>
  <c r="W641" i="1"/>
  <c r="V641" i="1"/>
  <c r="U641" i="1"/>
  <c r="Y640" i="1"/>
  <c r="X640" i="1"/>
  <c r="W640" i="1"/>
  <c r="V640" i="1"/>
  <c r="U640" i="1"/>
  <c r="Y639" i="1"/>
  <c r="X639" i="1"/>
  <c r="W639" i="1"/>
  <c r="V639" i="1"/>
  <c r="U639" i="1"/>
  <c r="Y638" i="1"/>
  <c r="X638" i="1"/>
  <c r="W638" i="1"/>
  <c r="V638" i="1"/>
  <c r="U638" i="1"/>
  <c r="Y637" i="1"/>
  <c r="X637" i="1"/>
  <c r="W637" i="1"/>
  <c r="V637" i="1"/>
  <c r="U637" i="1"/>
  <c r="Y636" i="1"/>
  <c r="X636" i="1"/>
  <c r="W636" i="1"/>
  <c r="V636" i="1"/>
  <c r="U636" i="1"/>
  <c r="Y635" i="1"/>
  <c r="X635" i="1"/>
  <c r="W635" i="1"/>
  <c r="V635" i="1"/>
  <c r="U635" i="1"/>
  <c r="Y634" i="1"/>
  <c r="X634" i="1"/>
  <c r="W634" i="1"/>
  <c r="V634" i="1"/>
  <c r="U634" i="1"/>
  <c r="Y633" i="1"/>
  <c r="X633" i="1"/>
  <c r="W633" i="1"/>
  <c r="V633" i="1"/>
  <c r="U633" i="1"/>
  <c r="Y632" i="1"/>
  <c r="X632" i="1"/>
  <c r="W632" i="1"/>
  <c r="V632" i="1"/>
  <c r="U632" i="1"/>
  <c r="Y631" i="1"/>
  <c r="X631" i="1"/>
  <c r="W631" i="1"/>
  <c r="V631" i="1"/>
  <c r="U631" i="1"/>
  <c r="Y630" i="1"/>
  <c r="X630" i="1"/>
  <c r="W630" i="1"/>
  <c r="V630" i="1"/>
  <c r="U630" i="1"/>
  <c r="Y629" i="1"/>
  <c r="X629" i="1"/>
  <c r="W629" i="1"/>
  <c r="V629" i="1"/>
  <c r="U629" i="1"/>
  <c r="Y628" i="1"/>
  <c r="X628" i="1"/>
  <c r="W628" i="1"/>
  <c r="V628" i="1"/>
  <c r="U628" i="1"/>
  <c r="Y627" i="1"/>
  <c r="X627" i="1"/>
  <c r="W627" i="1"/>
  <c r="V627" i="1"/>
  <c r="U627" i="1"/>
  <c r="Y626" i="1"/>
  <c r="X626" i="1"/>
  <c r="W626" i="1"/>
  <c r="V626" i="1"/>
  <c r="U626" i="1"/>
  <c r="Y625" i="1"/>
  <c r="X625" i="1"/>
  <c r="W625" i="1"/>
  <c r="V625" i="1"/>
  <c r="U625" i="1"/>
  <c r="Y624" i="1"/>
  <c r="X624" i="1"/>
  <c r="W624" i="1"/>
  <c r="V624" i="1"/>
  <c r="U624" i="1"/>
  <c r="Y623" i="1"/>
  <c r="X623" i="1"/>
  <c r="W623" i="1"/>
  <c r="V623" i="1"/>
  <c r="U623" i="1"/>
  <c r="Y622" i="1"/>
  <c r="X622" i="1"/>
  <c r="W622" i="1"/>
  <c r="V622" i="1"/>
  <c r="U622" i="1"/>
  <c r="Y621" i="1"/>
  <c r="X621" i="1"/>
  <c r="W621" i="1"/>
  <c r="V621" i="1"/>
  <c r="U621" i="1"/>
  <c r="Y620" i="1"/>
  <c r="X620" i="1"/>
  <c r="W620" i="1"/>
  <c r="V620" i="1"/>
  <c r="U620" i="1"/>
  <c r="Y619" i="1"/>
  <c r="X619" i="1"/>
  <c r="W619" i="1"/>
  <c r="V619" i="1"/>
  <c r="U619" i="1"/>
  <c r="Y618" i="1"/>
  <c r="X618" i="1"/>
  <c r="W618" i="1"/>
  <c r="V618" i="1"/>
  <c r="U618" i="1"/>
  <c r="Y617" i="1"/>
  <c r="X617" i="1"/>
  <c r="W617" i="1"/>
  <c r="V617" i="1"/>
  <c r="U617" i="1"/>
  <c r="Y616" i="1"/>
  <c r="X616" i="1"/>
  <c r="W616" i="1"/>
  <c r="V616" i="1"/>
  <c r="U616" i="1"/>
  <c r="Y615" i="1"/>
  <c r="X615" i="1"/>
  <c r="W615" i="1"/>
  <c r="V615" i="1"/>
  <c r="U615" i="1"/>
  <c r="Y614" i="1"/>
  <c r="X614" i="1"/>
  <c r="W614" i="1"/>
  <c r="V614" i="1"/>
  <c r="U614" i="1"/>
  <c r="Y613" i="1"/>
  <c r="X613" i="1"/>
  <c r="W613" i="1"/>
  <c r="V613" i="1"/>
  <c r="U613" i="1"/>
  <c r="Y612" i="1"/>
  <c r="X612" i="1"/>
  <c r="W612" i="1"/>
  <c r="V612" i="1"/>
  <c r="U612" i="1"/>
  <c r="Y611" i="1"/>
  <c r="X611" i="1"/>
  <c r="W611" i="1"/>
  <c r="V611" i="1"/>
  <c r="U611" i="1"/>
  <c r="Y610" i="1"/>
  <c r="X610" i="1"/>
  <c r="W610" i="1"/>
  <c r="V610" i="1"/>
  <c r="U610" i="1"/>
  <c r="Y609" i="1"/>
  <c r="X609" i="1"/>
  <c r="W609" i="1"/>
  <c r="V609" i="1"/>
  <c r="U609" i="1"/>
  <c r="Y608" i="1"/>
  <c r="X608" i="1"/>
  <c r="W608" i="1"/>
  <c r="V608" i="1"/>
  <c r="U608" i="1"/>
  <c r="Y607" i="1"/>
  <c r="X607" i="1"/>
  <c r="W607" i="1"/>
  <c r="V607" i="1"/>
  <c r="U607" i="1"/>
  <c r="Y606" i="1"/>
  <c r="X606" i="1"/>
  <c r="W606" i="1"/>
  <c r="V606" i="1"/>
  <c r="U606" i="1"/>
  <c r="Y605" i="1"/>
  <c r="X605" i="1"/>
  <c r="W605" i="1"/>
  <c r="V605" i="1"/>
  <c r="U605" i="1"/>
  <c r="Y604" i="1"/>
  <c r="X604" i="1"/>
  <c r="W604" i="1"/>
  <c r="V604" i="1"/>
  <c r="U604" i="1"/>
  <c r="Y603" i="1"/>
  <c r="X603" i="1"/>
  <c r="W603" i="1"/>
  <c r="V603" i="1"/>
  <c r="U603" i="1"/>
  <c r="Y602" i="1"/>
  <c r="X602" i="1"/>
  <c r="W602" i="1"/>
  <c r="V602" i="1"/>
  <c r="U602" i="1"/>
  <c r="Y601" i="1"/>
  <c r="X601" i="1"/>
  <c r="W601" i="1"/>
  <c r="V601" i="1"/>
  <c r="U601" i="1"/>
  <c r="Y600" i="1"/>
  <c r="X600" i="1"/>
  <c r="W600" i="1"/>
  <c r="V600" i="1"/>
  <c r="U600" i="1"/>
  <c r="Y599" i="1"/>
  <c r="X599" i="1"/>
  <c r="W599" i="1"/>
  <c r="V599" i="1"/>
  <c r="U599" i="1"/>
  <c r="Y598" i="1"/>
  <c r="X598" i="1"/>
  <c r="W598" i="1"/>
  <c r="V598" i="1"/>
  <c r="U598" i="1"/>
  <c r="Y597" i="1"/>
  <c r="X597" i="1"/>
  <c r="W597" i="1"/>
  <c r="V597" i="1"/>
  <c r="U597" i="1"/>
  <c r="Y596" i="1"/>
  <c r="X596" i="1"/>
  <c r="W596" i="1"/>
  <c r="V596" i="1"/>
  <c r="U596" i="1"/>
  <c r="Y595" i="1"/>
  <c r="X595" i="1"/>
  <c r="W595" i="1"/>
  <c r="V595" i="1"/>
  <c r="U595" i="1"/>
  <c r="Y594" i="1"/>
  <c r="X594" i="1"/>
  <c r="W594" i="1"/>
  <c r="V594" i="1"/>
  <c r="U594" i="1"/>
  <c r="Y593" i="1"/>
  <c r="X593" i="1"/>
  <c r="W593" i="1"/>
  <c r="V593" i="1"/>
  <c r="U593" i="1"/>
  <c r="Y592" i="1"/>
  <c r="X592" i="1"/>
  <c r="W592" i="1"/>
  <c r="V592" i="1"/>
  <c r="U592" i="1"/>
  <c r="Y591" i="1"/>
  <c r="X591" i="1"/>
  <c r="W591" i="1"/>
  <c r="V591" i="1"/>
  <c r="U591" i="1"/>
  <c r="Y590" i="1"/>
  <c r="X590" i="1"/>
  <c r="W590" i="1"/>
  <c r="V590" i="1"/>
  <c r="U590" i="1"/>
  <c r="Y589" i="1"/>
  <c r="X589" i="1"/>
  <c r="W589" i="1"/>
  <c r="V589" i="1"/>
  <c r="U589" i="1"/>
  <c r="Y588" i="1"/>
  <c r="X588" i="1"/>
  <c r="W588" i="1"/>
  <c r="V588" i="1"/>
  <c r="U588" i="1"/>
  <c r="Y587" i="1"/>
  <c r="X587" i="1"/>
  <c r="W587" i="1"/>
  <c r="V587" i="1"/>
  <c r="U587" i="1"/>
  <c r="Y586" i="1"/>
  <c r="X586" i="1"/>
  <c r="W586" i="1"/>
  <c r="V586" i="1"/>
  <c r="U586" i="1"/>
  <c r="Y585" i="1"/>
  <c r="X585" i="1"/>
  <c r="W585" i="1"/>
  <c r="V585" i="1"/>
  <c r="U585" i="1"/>
  <c r="Y584" i="1"/>
  <c r="X584" i="1"/>
  <c r="W584" i="1"/>
  <c r="V584" i="1"/>
  <c r="U584" i="1"/>
  <c r="Y583" i="1"/>
  <c r="X583" i="1"/>
  <c r="W583" i="1"/>
  <c r="V583" i="1"/>
  <c r="U583" i="1"/>
  <c r="Y582" i="1"/>
  <c r="X582" i="1"/>
  <c r="W582" i="1"/>
  <c r="V582" i="1"/>
  <c r="U582" i="1"/>
  <c r="Y581" i="1"/>
  <c r="X581" i="1"/>
  <c r="W581" i="1"/>
  <c r="V581" i="1"/>
  <c r="U581" i="1"/>
  <c r="Y580" i="1"/>
  <c r="X580" i="1"/>
  <c r="W580" i="1"/>
  <c r="V580" i="1"/>
  <c r="U580" i="1"/>
  <c r="Y579" i="1"/>
  <c r="X579" i="1"/>
  <c r="W579" i="1"/>
  <c r="V579" i="1"/>
  <c r="U579" i="1"/>
  <c r="Y578" i="1"/>
  <c r="X578" i="1"/>
  <c r="W578" i="1"/>
  <c r="V578" i="1"/>
  <c r="U578" i="1"/>
  <c r="Y577" i="1"/>
  <c r="X577" i="1"/>
  <c r="W577" i="1"/>
  <c r="V577" i="1"/>
  <c r="U577" i="1"/>
  <c r="Y576" i="1"/>
  <c r="X576" i="1"/>
  <c r="W576" i="1"/>
  <c r="V576" i="1"/>
  <c r="U576" i="1"/>
  <c r="Y575" i="1"/>
  <c r="X575" i="1"/>
  <c r="W575" i="1"/>
  <c r="V575" i="1"/>
  <c r="U575" i="1"/>
  <c r="Y574" i="1"/>
  <c r="X574" i="1"/>
  <c r="W574" i="1"/>
  <c r="V574" i="1"/>
  <c r="U574" i="1"/>
  <c r="Y573" i="1"/>
  <c r="X573" i="1"/>
  <c r="W573" i="1"/>
  <c r="V573" i="1"/>
  <c r="U573" i="1"/>
  <c r="Y572" i="1"/>
  <c r="X572" i="1"/>
  <c r="W572" i="1"/>
  <c r="V572" i="1"/>
  <c r="U572" i="1"/>
  <c r="Y571" i="1"/>
  <c r="X571" i="1"/>
  <c r="W571" i="1"/>
  <c r="V571" i="1"/>
  <c r="U571" i="1"/>
  <c r="Y570" i="1"/>
  <c r="X570" i="1"/>
  <c r="W570" i="1"/>
  <c r="V570" i="1"/>
  <c r="U570" i="1"/>
  <c r="Y569" i="1"/>
  <c r="X569" i="1"/>
  <c r="W569" i="1"/>
  <c r="V569" i="1"/>
  <c r="U569" i="1"/>
  <c r="Y568" i="1"/>
  <c r="X568" i="1"/>
  <c r="W568" i="1"/>
  <c r="V568" i="1"/>
  <c r="U568" i="1"/>
  <c r="Y567" i="1"/>
  <c r="X567" i="1"/>
  <c r="W567" i="1"/>
  <c r="V567" i="1"/>
  <c r="U567" i="1"/>
  <c r="Y566" i="1"/>
  <c r="X566" i="1"/>
  <c r="W566" i="1"/>
  <c r="V566" i="1"/>
  <c r="U566" i="1"/>
  <c r="Y565" i="1"/>
  <c r="X565" i="1"/>
  <c r="W565" i="1"/>
  <c r="V565" i="1"/>
  <c r="U565" i="1"/>
  <c r="Y564" i="1"/>
  <c r="X564" i="1"/>
  <c r="W564" i="1"/>
  <c r="V564" i="1"/>
  <c r="U564" i="1"/>
  <c r="Y563" i="1"/>
  <c r="X563" i="1"/>
  <c r="W563" i="1"/>
  <c r="V563" i="1"/>
  <c r="U563" i="1"/>
  <c r="Y562" i="1"/>
  <c r="X562" i="1"/>
  <c r="W562" i="1"/>
  <c r="V562" i="1"/>
  <c r="U562" i="1"/>
  <c r="Y561" i="1"/>
  <c r="X561" i="1"/>
  <c r="W561" i="1"/>
  <c r="V561" i="1"/>
  <c r="U561" i="1"/>
  <c r="Y560" i="1"/>
  <c r="X560" i="1"/>
  <c r="W560" i="1"/>
  <c r="V560" i="1"/>
  <c r="U560" i="1"/>
  <c r="Y559" i="1"/>
  <c r="X559" i="1"/>
  <c r="W559" i="1"/>
  <c r="V559" i="1"/>
  <c r="U559" i="1"/>
  <c r="Y558" i="1"/>
  <c r="X558" i="1"/>
  <c r="W558" i="1"/>
  <c r="V558" i="1"/>
  <c r="U558" i="1"/>
  <c r="Y557" i="1"/>
  <c r="X557" i="1"/>
  <c r="W557" i="1"/>
  <c r="V557" i="1"/>
  <c r="U557" i="1"/>
  <c r="Y556" i="1"/>
  <c r="X556" i="1"/>
  <c r="W556" i="1"/>
  <c r="V556" i="1"/>
  <c r="U556" i="1"/>
  <c r="Y555" i="1"/>
  <c r="X555" i="1"/>
  <c r="W555" i="1"/>
  <c r="V555" i="1"/>
  <c r="U555" i="1"/>
  <c r="Y554" i="1"/>
  <c r="X554" i="1"/>
  <c r="W554" i="1"/>
  <c r="V554" i="1"/>
  <c r="U554" i="1"/>
  <c r="Y553" i="1"/>
  <c r="X553" i="1"/>
  <c r="W553" i="1"/>
  <c r="V553" i="1"/>
  <c r="U553" i="1"/>
  <c r="Y552" i="1"/>
  <c r="X552" i="1"/>
  <c r="W552" i="1"/>
  <c r="V552" i="1"/>
  <c r="U552" i="1"/>
  <c r="Y551" i="1"/>
  <c r="X551" i="1"/>
  <c r="W551" i="1"/>
  <c r="V551" i="1"/>
  <c r="U551" i="1"/>
  <c r="Y550" i="1"/>
  <c r="X550" i="1"/>
  <c r="W550" i="1"/>
  <c r="V550" i="1"/>
  <c r="U550" i="1"/>
  <c r="Y549" i="1"/>
  <c r="X549" i="1"/>
  <c r="W549" i="1"/>
  <c r="V549" i="1"/>
  <c r="U549" i="1"/>
  <c r="Y548" i="1"/>
  <c r="X548" i="1"/>
  <c r="W548" i="1"/>
  <c r="V548" i="1"/>
  <c r="U548" i="1"/>
  <c r="Y547" i="1"/>
  <c r="X547" i="1"/>
  <c r="W547" i="1"/>
  <c r="V547" i="1"/>
  <c r="U547" i="1"/>
  <c r="Y546" i="1"/>
  <c r="X546" i="1"/>
  <c r="W546" i="1"/>
  <c r="V546" i="1"/>
  <c r="U546" i="1"/>
  <c r="Y545" i="1"/>
  <c r="X545" i="1"/>
  <c r="W545" i="1"/>
  <c r="V545" i="1"/>
  <c r="U545" i="1"/>
  <c r="Y544" i="1"/>
  <c r="X544" i="1"/>
  <c r="W544" i="1"/>
  <c r="V544" i="1"/>
  <c r="U544" i="1"/>
  <c r="Y543" i="1"/>
  <c r="X543" i="1"/>
  <c r="W543" i="1"/>
  <c r="V543" i="1"/>
  <c r="U543" i="1"/>
  <c r="Y542" i="1"/>
  <c r="X542" i="1"/>
  <c r="W542" i="1"/>
  <c r="V542" i="1"/>
  <c r="U542" i="1"/>
  <c r="Y541" i="1"/>
  <c r="X541" i="1"/>
  <c r="W541" i="1"/>
  <c r="V541" i="1"/>
  <c r="U541" i="1"/>
  <c r="Y540" i="1"/>
  <c r="X540" i="1"/>
  <c r="W540" i="1"/>
  <c r="V540" i="1"/>
  <c r="U540" i="1"/>
  <c r="Y539" i="1"/>
  <c r="X539" i="1"/>
  <c r="W539" i="1"/>
  <c r="V539" i="1"/>
  <c r="U539" i="1"/>
  <c r="Y538" i="1"/>
  <c r="X538" i="1"/>
  <c r="W538" i="1"/>
  <c r="V538" i="1"/>
  <c r="U538" i="1"/>
  <c r="Y537" i="1"/>
  <c r="X537" i="1"/>
  <c r="W537" i="1"/>
  <c r="V537" i="1"/>
  <c r="U537" i="1"/>
  <c r="Y536" i="1"/>
  <c r="X536" i="1"/>
  <c r="W536" i="1"/>
  <c r="V536" i="1"/>
  <c r="U536" i="1"/>
  <c r="Y535" i="1"/>
  <c r="X535" i="1"/>
  <c r="W535" i="1"/>
  <c r="V535" i="1"/>
  <c r="U535" i="1"/>
  <c r="Y534" i="1"/>
  <c r="X534" i="1"/>
  <c r="W534" i="1"/>
  <c r="V534" i="1"/>
  <c r="U534" i="1"/>
  <c r="Y533" i="1"/>
  <c r="X533" i="1"/>
  <c r="W533" i="1"/>
  <c r="V533" i="1"/>
  <c r="U533" i="1"/>
  <c r="Y532" i="1"/>
  <c r="X532" i="1"/>
  <c r="W532" i="1"/>
  <c r="V532" i="1"/>
  <c r="U532" i="1"/>
  <c r="Y531" i="1"/>
  <c r="X531" i="1"/>
  <c r="W531" i="1"/>
  <c r="V531" i="1"/>
  <c r="U531" i="1"/>
  <c r="Y530" i="1"/>
  <c r="X530" i="1"/>
  <c r="W530" i="1"/>
  <c r="V530" i="1"/>
  <c r="U530" i="1"/>
  <c r="Y529" i="1"/>
  <c r="X529" i="1"/>
  <c r="W529" i="1"/>
  <c r="V529" i="1"/>
  <c r="U529" i="1"/>
  <c r="Y528" i="1"/>
  <c r="X528" i="1"/>
  <c r="W528" i="1"/>
  <c r="V528" i="1"/>
  <c r="U528" i="1"/>
  <c r="Y527" i="1"/>
  <c r="X527" i="1"/>
  <c r="W527" i="1"/>
  <c r="V527" i="1"/>
  <c r="U527" i="1"/>
  <c r="Y526" i="1"/>
  <c r="X526" i="1"/>
  <c r="W526" i="1"/>
  <c r="V526" i="1"/>
  <c r="U526" i="1"/>
  <c r="Y525" i="1"/>
  <c r="X525" i="1"/>
  <c r="W525" i="1"/>
  <c r="V525" i="1"/>
  <c r="U525" i="1"/>
  <c r="Y524" i="1"/>
  <c r="X524" i="1"/>
  <c r="W524" i="1"/>
  <c r="V524" i="1"/>
  <c r="U524" i="1"/>
  <c r="Y523" i="1"/>
  <c r="X523" i="1"/>
  <c r="W523" i="1"/>
  <c r="V523" i="1"/>
  <c r="U523" i="1"/>
  <c r="Y522" i="1"/>
  <c r="X522" i="1"/>
  <c r="W522" i="1"/>
  <c r="V522" i="1"/>
  <c r="U522" i="1"/>
  <c r="Y521" i="1"/>
  <c r="X521" i="1"/>
  <c r="W521" i="1"/>
  <c r="V521" i="1"/>
  <c r="U521" i="1"/>
  <c r="Y520" i="1"/>
  <c r="X520" i="1"/>
  <c r="W520" i="1"/>
  <c r="V520" i="1"/>
  <c r="U520" i="1"/>
  <c r="Y519" i="1"/>
  <c r="X519" i="1"/>
  <c r="W519" i="1"/>
  <c r="V519" i="1"/>
  <c r="U519" i="1"/>
  <c r="Y518" i="1"/>
  <c r="X518" i="1"/>
  <c r="W518" i="1"/>
  <c r="V518" i="1"/>
  <c r="U518" i="1"/>
  <c r="Y517" i="1"/>
  <c r="X517" i="1"/>
  <c r="W517" i="1"/>
  <c r="V517" i="1"/>
  <c r="U517" i="1"/>
  <c r="Y516" i="1"/>
  <c r="X516" i="1"/>
  <c r="W516" i="1"/>
  <c r="V516" i="1"/>
  <c r="U516" i="1"/>
  <c r="Y515" i="1"/>
  <c r="X515" i="1"/>
  <c r="W515" i="1"/>
  <c r="V515" i="1"/>
  <c r="U515" i="1"/>
  <c r="Y514" i="1"/>
  <c r="X514" i="1"/>
  <c r="W514" i="1"/>
  <c r="V514" i="1"/>
  <c r="U514" i="1"/>
  <c r="Y513" i="1"/>
  <c r="X513" i="1"/>
  <c r="W513" i="1"/>
  <c r="V513" i="1"/>
  <c r="U513" i="1"/>
  <c r="Y512" i="1"/>
  <c r="X512" i="1"/>
  <c r="W512" i="1"/>
  <c r="V512" i="1"/>
  <c r="U512" i="1"/>
  <c r="Y511" i="1"/>
  <c r="X511" i="1"/>
  <c r="W511" i="1"/>
  <c r="V511" i="1"/>
  <c r="U511" i="1"/>
  <c r="Y510" i="1"/>
  <c r="X510" i="1"/>
  <c r="W510" i="1"/>
  <c r="V510" i="1"/>
  <c r="U510" i="1"/>
  <c r="Y509" i="1"/>
  <c r="X509" i="1"/>
  <c r="W509" i="1"/>
  <c r="V509" i="1"/>
  <c r="U509" i="1"/>
  <c r="Y508" i="1"/>
  <c r="X508" i="1"/>
  <c r="W508" i="1"/>
  <c r="V508" i="1"/>
  <c r="U508" i="1"/>
  <c r="Y507" i="1"/>
  <c r="X507" i="1"/>
  <c r="W507" i="1"/>
  <c r="V507" i="1"/>
  <c r="U507" i="1"/>
  <c r="Y506" i="1"/>
  <c r="X506" i="1"/>
  <c r="W506" i="1"/>
  <c r="V506" i="1"/>
  <c r="U506" i="1"/>
  <c r="Y505" i="1"/>
  <c r="X505" i="1"/>
  <c r="W505" i="1"/>
  <c r="V505" i="1"/>
  <c r="U505" i="1"/>
  <c r="Y504" i="1"/>
  <c r="X504" i="1"/>
  <c r="W504" i="1"/>
  <c r="V504" i="1"/>
  <c r="U504" i="1"/>
  <c r="Y503" i="1"/>
  <c r="X503" i="1"/>
  <c r="W503" i="1"/>
  <c r="V503" i="1"/>
  <c r="U503" i="1"/>
  <c r="Y502" i="1"/>
  <c r="X502" i="1"/>
  <c r="W502" i="1"/>
  <c r="V502" i="1"/>
  <c r="U502" i="1"/>
  <c r="Y501" i="1"/>
  <c r="X501" i="1"/>
  <c r="W501" i="1"/>
  <c r="V501" i="1"/>
  <c r="U501" i="1"/>
  <c r="Y500" i="1"/>
  <c r="X500" i="1"/>
  <c r="W500" i="1"/>
  <c r="V500" i="1"/>
  <c r="U500" i="1"/>
  <c r="Y499" i="1"/>
  <c r="X499" i="1"/>
  <c r="W499" i="1"/>
  <c r="V499" i="1"/>
  <c r="U499" i="1"/>
  <c r="Y498" i="1"/>
  <c r="X498" i="1"/>
  <c r="W498" i="1"/>
  <c r="V498" i="1"/>
  <c r="U498" i="1"/>
  <c r="Y497" i="1"/>
  <c r="X497" i="1"/>
  <c r="W497" i="1"/>
  <c r="V497" i="1"/>
  <c r="U497" i="1"/>
  <c r="Y496" i="1"/>
  <c r="X496" i="1"/>
  <c r="W496" i="1"/>
  <c r="V496" i="1"/>
  <c r="U496" i="1"/>
  <c r="Y495" i="1"/>
  <c r="X495" i="1"/>
  <c r="W495" i="1"/>
  <c r="V495" i="1"/>
  <c r="U495" i="1"/>
  <c r="Y494" i="1"/>
  <c r="X494" i="1"/>
  <c r="W494" i="1"/>
  <c r="V494" i="1"/>
  <c r="U494" i="1"/>
  <c r="Y493" i="1"/>
  <c r="X493" i="1"/>
  <c r="W493" i="1"/>
  <c r="V493" i="1"/>
  <c r="U493" i="1"/>
  <c r="Y492" i="1"/>
  <c r="X492" i="1"/>
  <c r="W492" i="1"/>
  <c r="V492" i="1"/>
  <c r="U492" i="1"/>
  <c r="Y491" i="1"/>
  <c r="X491" i="1"/>
  <c r="W491" i="1"/>
  <c r="V491" i="1"/>
  <c r="U491" i="1"/>
  <c r="Y490" i="1"/>
  <c r="X490" i="1"/>
  <c r="W490" i="1"/>
  <c r="V490" i="1"/>
  <c r="U490" i="1"/>
  <c r="Y489" i="1"/>
  <c r="X489" i="1"/>
  <c r="W489" i="1"/>
  <c r="V489" i="1"/>
  <c r="U489" i="1"/>
  <c r="Y488" i="1"/>
  <c r="X488" i="1"/>
  <c r="W488" i="1"/>
  <c r="V488" i="1"/>
  <c r="U488" i="1"/>
  <c r="Y487" i="1"/>
  <c r="X487" i="1"/>
  <c r="W487" i="1"/>
  <c r="V487" i="1"/>
  <c r="U487" i="1"/>
  <c r="Y486" i="1"/>
  <c r="X486" i="1"/>
  <c r="W486" i="1"/>
  <c r="V486" i="1"/>
  <c r="U486" i="1"/>
  <c r="Y485" i="1"/>
  <c r="X485" i="1"/>
  <c r="W485" i="1"/>
  <c r="V485" i="1"/>
  <c r="U485" i="1"/>
  <c r="Y484" i="1"/>
  <c r="X484" i="1"/>
  <c r="W484" i="1"/>
  <c r="V484" i="1"/>
  <c r="U484" i="1"/>
  <c r="Y483" i="1"/>
  <c r="X483" i="1"/>
  <c r="W483" i="1"/>
  <c r="V483" i="1"/>
  <c r="U483" i="1"/>
  <c r="Y482" i="1"/>
  <c r="X482" i="1"/>
  <c r="W482" i="1"/>
  <c r="V482" i="1"/>
  <c r="U482" i="1"/>
  <c r="Y481" i="1"/>
  <c r="X481" i="1"/>
  <c r="W481" i="1"/>
  <c r="V481" i="1"/>
  <c r="U481" i="1"/>
  <c r="Y480" i="1"/>
  <c r="X480" i="1"/>
  <c r="W480" i="1"/>
  <c r="V480" i="1"/>
  <c r="U480" i="1"/>
  <c r="Y479" i="1"/>
  <c r="X479" i="1"/>
  <c r="W479" i="1"/>
  <c r="V479" i="1"/>
  <c r="U479" i="1"/>
  <c r="Y478" i="1"/>
  <c r="X478" i="1"/>
  <c r="W478" i="1"/>
  <c r="V478" i="1"/>
  <c r="U478" i="1"/>
  <c r="Y477" i="1"/>
  <c r="X477" i="1"/>
  <c r="W477" i="1"/>
  <c r="V477" i="1"/>
  <c r="U477" i="1"/>
  <c r="Y476" i="1"/>
  <c r="X476" i="1"/>
  <c r="W476" i="1"/>
  <c r="V476" i="1"/>
  <c r="U476" i="1"/>
  <c r="Y475" i="1"/>
  <c r="X475" i="1"/>
  <c r="W475" i="1"/>
  <c r="V475" i="1"/>
  <c r="U475" i="1"/>
  <c r="Y474" i="1"/>
  <c r="X474" i="1"/>
  <c r="W474" i="1"/>
  <c r="V474" i="1"/>
  <c r="U474" i="1"/>
  <c r="Y473" i="1"/>
  <c r="X473" i="1"/>
  <c r="W473" i="1"/>
  <c r="V473" i="1"/>
  <c r="U473" i="1"/>
  <c r="Y472" i="1"/>
  <c r="X472" i="1"/>
  <c r="W472" i="1"/>
  <c r="V472" i="1"/>
  <c r="U472" i="1"/>
  <c r="Y471" i="1"/>
  <c r="X471" i="1"/>
  <c r="W471" i="1"/>
  <c r="V471" i="1"/>
  <c r="U471" i="1"/>
  <c r="Y470" i="1"/>
  <c r="X470" i="1"/>
  <c r="W470" i="1"/>
  <c r="V470" i="1"/>
  <c r="U470" i="1"/>
  <c r="Y469" i="1"/>
  <c r="X469" i="1"/>
  <c r="W469" i="1"/>
  <c r="V469" i="1"/>
  <c r="U469" i="1"/>
  <c r="Y468" i="1"/>
  <c r="X468" i="1"/>
  <c r="W468" i="1"/>
  <c r="V468" i="1"/>
  <c r="U468" i="1"/>
  <c r="Y467" i="1"/>
  <c r="X467" i="1"/>
  <c r="W467" i="1"/>
  <c r="V467" i="1"/>
  <c r="U467" i="1"/>
  <c r="Y466" i="1"/>
  <c r="X466" i="1"/>
  <c r="W466" i="1"/>
  <c r="V466" i="1"/>
  <c r="U466" i="1"/>
  <c r="Y465" i="1"/>
  <c r="X465" i="1"/>
  <c r="W465" i="1"/>
  <c r="V465" i="1"/>
  <c r="U465" i="1"/>
  <c r="Y464" i="1"/>
  <c r="X464" i="1"/>
  <c r="W464" i="1"/>
  <c r="V464" i="1"/>
  <c r="U464" i="1"/>
  <c r="Y463" i="1"/>
  <c r="X463" i="1"/>
  <c r="W463" i="1"/>
  <c r="V463" i="1"/>
  <c r="U463" i="1"/>
  <c r="Y462" i="1"/>
  <c r="X462" i="1"/>
  <c r="W462" i="1"/>
  <c r="V462" i="1"/>
  <c r="U462" i="1"/>
  <c r="Y461" i="1"/>
  <c r="X461" i="1"/>
  <c r="W461" i="1"/>
  <c r="V461" i="1"/>
  <c r="U461" i="1"/>
  <c r="Y460" i="1"/>
  <c r="X460" i="1"/>
  <c r="W460" i="1"/>
  <c r="V460" i="1"/>
  <c r="U460" i="1"/>
  <c r="Y459" i="1"/>
  <c r="X459" i="1"/>
  <c r="W459" i="1"/>
  <c r="V459" i="1"/>
  <c r="U459" i="1"/>
  <c r="Y458" i="1"/>
  <c r="X458" i="1"/>
  <c r="W458" i="1"/>
  <c r="V458" i="1"/>
  <c r="U458" i="1"/>
  <c r="Y457" i="1"/>
  <c r="X457" i="1"/>
  <c r="W457" i="1"/>
  <c r="V457" i="1"/>
  <c r="U457" i="1"/>
  <c r="Y456" i="1"/>
  <c r="X456" i="1"/>
  <c r="W456" i="1"/>
  <c r="V456" i="1"/>
  <c r="U456" i="1"/>
  <c r="Y455" i="1"/>
  <c r="X455" i="1"/>
  <c r="W455" i="1"/>
  <c r="V455" i="1"/>
  <c r="U455" i="1"/>
  <c r="Y454" i="1"/>
  <c r="X454" i="1"/>
  <c r="W454" i="1"/>
  <c r="V454" i="1"/>
  <c r="U454" i="1"/>
  <c r="Y453" i="1"/>
  <c r="X453" i="1"/>
  <c r="W453" i="1"/>
  <c r="V453" i="1"/>
  <c r="U453" i="1"/>
  <c r="Y452" i="1"/>
  <c r="X452" i="1"/>
  <c r="W452" i="1"/>
  <c r="V452" i="1"/>
  <c r="U452" i="1"/>
  <c r="Y451" i="1"/>
  <c r="X451" i="1"/>
  <c r="W451" i="1"/>
  <c r="V451" i="1"/>
  <c r="U451" i="1"/>
  <c r="Y450" i="1"/>
  <c r="X450" i="1"/>
  <c r="W450" i="1"/>
  <c r="V450" i="1"/>
  <c r="U450" i="1"/>
  <c r="Y449" i="1"/>
  <c r="X449" i="1"/>
  <c r="W449" i="1"/>
  <c r="V449" i="1"/>
  <c r="U449" i="1"/>
  <c r="Y448" i="1"/>
  <c r="X448" i="1"/>
  <c r="W448" i="1"/>
  <c r="V448" i="1"/>
  <c r="U448" i="1"/>
  <c r="Y447" i="1"/>
  <c r="X447" i="1"/>
  <c r="W447" i="1"/>
  <c r="V447" i="1"/>
  <c r="U447" i="1"/>
  <c r="Y446" i="1"/>
  <c r="X446" i="1"/>
  <c r="W446" i="1"/>
  <c r="V446" i="1"/>
  <c r="U446" i="1"/>
  <c r="Y445" i="1"/>
  <c r="X445" i="1"/>
  <c r="W445" i="1"/>
  <c r="V445" i="1"/>
  <c r="U445" i="1"/>
  <c r="Y444" i="1"/>
  <c r="X444" i="1"/>
  <c r="W444" i="1"/>
  <c r="V444" i="1"/>
  <c r="U444" i="1"/>
  <c r="Y443" i="1"/>
  <c r="X443" i="1"/>
  <c r="W443" i="1"/>
  <c r="V443" i="1"/>
  <c r="U443" i="1"/>
  <c r="Y442" i="1"/>
  <c r="X442" i="1"/>
  <c r="W442" i="1"/>
  <c r="V442" i="1"/>
  <c r="U442" i="1"/>
  <c r="Y441" i="1"/>
  <c r="X441" i="1"/>
  <c r="W441" i="1"/>
  <c r="V441" i="1"/>
  <c r="U441" i="1"/>
  <c r="Y440" i="1"/>
  <c r="X440" i="1"/>
  <c r="W440" i="1"/>
  <c r="V440" i="1"/>
  <c r="U440" i="1"/>
  <c r="Y439" i="1"/>
  <c r="X439" i="1"/>
  <c r="W439" i="1"/>
  <c r="V439" i="1"/>
  <c r="U439" i="1"/>
  <c r="Y438" i="1"/>
  <c r="X438" i="1"/>
  <c r="W438" i="1"/>
  <c r="V438" i="1"/>
  <c r="U438" i="1"/>
  <c r="Y437" i="1"/>
  <c r="X437" i="1"/>
  <c r="W437" i="1"/>
  <c r="V437" i="1"/>
  <c r="U437" i="1"/>
  <c r="Y436" i="1"/>
  <c r="X436" i="1"/>
  <c r="W436" i="1"/>
  <c r="V436" i="1"/>
  <c r="U436" i="1"/>
  <c r="Y435" i="1"/>
  <c r="X435" i="1"/>
  <c r="W435" i="1"/>
  <c r="V435" i="1"/>
  <c r="U435" i="1"/>
  <c r="Y434" i="1"/>
  <c r="X434" i="1"/>
  <c r="W434" i="1"/>
  <c r="V434" i="1"/>
  <c r="U434" i="1"/>
  <c r="Y433" i="1"/>
  <c r="X433" i="1"/>
  <c r="W433" i="1"/>
  <c r="V433" i="1"/>
  <c r="U433" i="1"/>
  <c r="Y432" i="1"/>
  <c r="X432" i="1"/>
  <c r="W432" i="1"/>
  <c r="V432" i="1"/>
  <c r="U432" i="1"/>
  <c r="Y431" i="1"/>
  <c r="X431" i="1"/>
  <c r="W431" i="1"/>
  <c r="V431" i="1"/>
  <c r="U431" i="1"/>
  <c r="Y430" i="1"/>
  <c r="X430" i="1"/>
  <c r="W430" i="1"/>
  <c r="V430" i="1"/>
  <c r="U430" i="1"/>
  <c r="Y429" i="1"/>
  <c r="X429" i="1"/>
  <c r="W429" i="1"/>
  <c r="V429" i="1"/>
  <c r="U429" i="1"/>
  <c r="Y428" i="1"/>
  <c r="X428" i="1"/>
  <c r="W428" i="1"/>
  <c r="V428" i="1"/>
  <c r="U428" i="1"/>
  <c r="Y427" i="1"/>
  <c r="X427" i="1"/>
  <c r="W427" i="1"/>
  <c r="V427" i="1"/>
  <c r="U427" i="1"/>
  <c r="Y426" i="1"/>
  <c r="X426" i="1"/>
  <c r="W426" i="1"/>
  <c r="V426" i="1"/>
  <c r="U426" i="1"/>
  <c r="Y425" i="1"/>
  <c r="X425" i="1"/>
  <c r="W425" i="1"/>
  <c r="V425" i="1"/>
  <c r="U425" i="1"/>
  <c r="Y424" i="1"/>
  <c r="X424" i="1"/>
  <c r="W424" i="1"/>
  <c r="V424" i="1"/>
  <c r="U424" i="1"/>
  <c r="Y423" i="1"/>
  <c r="X423" i="1"/>
  <c r="W423" i="1"/>
  <c r="V423" i="1"/>
  <c r="U423" i="1"/>
  <c r="Y422" i="1"/>
  <c r="X422" i="1"/>
  <c r="W422" i="1"/>
  <c r="V422" i="1"/>
  <c r="U422" i="1"/>
  <c r="Y421" i="1"/>
  <c r="X421" i="1"/>
  <c r="W421" i="1"/>
  <c r="V421" i="1"/>
  <c r="U421" i="1"/>
  <c r="Y420" i="1"/>
  <c r="X420" i="1"/>
  <c r="W420" i="1"/>
  <c r="V420" i="1"/>
  <c r="U420" i="1"/>
  <c r="Y419" i="1"/>
  <c r="X419" i="1"/>
  <c r="W419" i="1"/>
  <c r="V419" i="1"/>
  <c r="U419" i="1"/>
  <c r="Y418" i="1"/>
  <c r="X418" i="1"/>
  <c r="W418" i="1"/>
  <c r="V418" i="1"/>
  <c r="U418" i="1"/>
  <c r="Y417" i="1"/>
  <c r="X417" i="1"/>
  <c r="W417" i="1"/>
  <c r="V417" i="1"/>
  <c r="U417" i="1"/>
  <c r="Y416" i="1"/>
  <c r="X416" i="1"/>
  <c r="W416" i="1"/>
  <c r="V416" i="1"/>
  <c r="U416" i="1"/>
  <c r="Y415" i="1"/>
  <c r="X415" i="1"/>
  <c r="W415" i="1"/>
  <c r="V415" i="1"/>
  <c r="U415" i="1"/>
  <c r="Y414" i="1"/>
  <c r="X414" i="1"/>
  <c r="W414" i="1"/>
  <c r="V414" i="1"/>
  <c r="U414" i="1"/>
  <c r="Y413" i="1"/>
  <c r="X413" i="1"/>
  <c r="W413" i="1"/>
  <c r="V413" i="1"/>
  <c r="U413" i="1"/>
  <c r="Y412" i="1"/>
  <c r="X412" i="1"/>
  <c r="W412" i="1"/>
  <c r="V412" i="1"/>
  <c r="U412" i="1"/>
  <c r="Y411" i="1"/>
  <c r="X411" i="1"/>
  <c r="W411" i="1"/>
  <c r="V411" i="1"/>
  <c r="U411" i="1"/>
  <c r="Y410" i="1"/>
  <c r="X410" i="1"/>
  <c r="W410" i="1"/>
  <c r="V410" i="1"/>
  <c r="U410" i="1"/>
  <c r="Y409" i="1"/>
  <c r="X409" i="1"/>
  <c r="W409" i="1"/>
  <c r="V409" i="1"/>
  <c r="U409" i="1"/>
  <c r="Y408" i="1"/>
  <c r="X408" i="1"/>
  <c r="W408" i="1"/>
  <c r="V408" i="1"/>
  <c r="U408" i="1"/>
  <c r="Y407" i="1"/>
  <c r="X407" i="1"/>
  <c r="W407" i="1"/>
  <c r="V407" i="1"/>
  <c r="U407" i="1"/>
  <c r="Y406" i="1"/>
  <c r="X406" i="1"/>
  <c r="W406" i="1"/>
  <c r="V406" i="1"/>
  <c r="U406" i="1"/>
  <c r="Y405" i="1"/>
  <c r="X405" i="1"/>
  <c r="W405" i="1"/>
  <c r="V405" i="1"/>
  <c r="U405" i="1"/>
  <c r="Y404" i="1"/>
  <c r="X404" i="1"/>
  <c r="W404" i="1"/>
  <c r="V404" i="1"/>
  <c r="U404" i="1"/>
  <c r="Y403" i="1"/>
  <c r="X403" i="1"/>
  <c r="W403" i="1"/>
  <c r="V403" i="1"/>
  <c r="U403" i="1"/>
  <c r="Y402" i="1"/>
  <c r="X402" i="1"/>
  <c r="W402" i="1"/>
  <c r="V402" i="1"/>
  <c r="U402" i="1"/>
  <c r="Y401" i="1"/>
  <c r="X401" i="1"/>
  <c r="W401" i="1"/>
  <c r="V401" i="1"/>
  <c r="U401" i="1"/>
  <c r="Y400" i="1"/>
  <c r="X400" i="1"/>
  <c r="W400" i="1"/>
  <c r="V400" i="1"/>
  <c r="U400" i="1"/>
  <c r="Y399" i="1"/>
  <c r="X399" i="1"/>
  <c r="W399" i="1"/>
  <c r="V399" i="1"/>
  <c r="U399" i="1"/>
  <c r="Y398" i="1"/>
  <c r="X398" i="1"/>
  <c r="W398" i="1"/>
  <c r="V398" i="1"/>
  <c r="U398" i="1"/>
  <c r="Y397" i="1"/>
  <c r="X397" i="1"/>
  <c r="W397" i="1"/>
  <c r="V397" i="1"/>
  <c r="U397" i="1"/>
  <c r="Y396" i="1"/>
  <c r="X396" i="1"/>
  <c r="W396" i="1"/>
  <c r="V396" i="1"/>
  <c r="U396" i="1"/>
  <c r="Y395" i="1"/>
  <c r="X395" i="1"/>
  <c r="W395" i="1"/>
  <c r="V395" i="1"/>
  <c r="U395" i="1"/>
  <c r="Y394" i="1"/>
  <c r="X394" i="1"/>
  <c r="W394" i="1"/>
  <c r="V394" i="1"/>
  <c r="U394" i="1"/>
  <c r="Y393" i="1"/>
  <c r="X393" i="1"/>
  <c r="W393" i="1"/>
  <c r="V393" i="1"/>
  <c r="U393" i="1"/>
  <c r="Y392" i="1"/>
  <c r="X392" i="1"/>
  <c r="W392" i="1"/>
  <c r="V392" i="1"/>
  <c r="U392" i="1"/>
  <c r="Y391" i="1"/>
  <c r="X391" i="1"/>
  <c r="W391" i="1"/>
  <c r="V391" i="1"/>
  <c r="U391" i="1"/>
  <c r="Y390" i="1"/>
  <c r="X390" i="1"/>
  <c r="W390" i="1"/>
  <c r="V390" i="1"/>
  <c r="U390" i="1"/>
  <c r="Y389" i="1"/>
  <c r="X389" i="1"/>
  <c r="W389" i="1"/>
  <c r="V389" i="1"/>
  <c r="U389" i="1"/>
  <c r="Y388" i="1"/>
  <c r="X388" i="1"/>
  <c r="W388" i="1"/>
  <c r="V388" i="1"/>
  <c r="U388" i="1"/>
  <c r="Y387" i="1"/>
  <c r="X387" i="1"/>
  <c r="W387" i="1"/>
  <c r="V387" i="1"/>
  <c r="U387" i="1"/>
  <c r="Y386" i="1"/>
  <c r="X386" i="1"/>
  <c r="W386" i="1"/>
  <c r="V386" i="1"/>
  <c r="U386" i="1"/>
  <c r="Y385" i="1"/>
  <c r="X385" i="1"/>
  <c r="W385" i="1"/>
  <c r="V385" i="1"/>
  <c r="U385" i="1"/>
  <c r="Y384" i="1"/>
  <c r="X384" i="1"/>
  <c r="W384" i="1"/>
  <c r="V384" i="1"/>
  <c r="U384" i="1"/>
  <c r="Y383" i="1"/>
  <c r="X383" i="1"/>
  <c r="W383" i="1"/>
  <c r="V383" i="1"/>
  <c r="U383" i="1"/>
  <c r="Y382" i="1"/>
  <c r="X382" i="1"/>
  <c r="W382" i="1"/>
  <c r="V382" i="1"/>
  <c r="U382" i="1"/>
  <c r="Y381" i="1"/>
  <c r="X381" i="1"/>
  <c r="W381" i="1"/>
  <c r="V381" i="1"/>
  <c r="U381" i="1"/>
  <c r="Y380" i="1"/>
  <c r="X380" i="1"/>
  <c r="W380" i="1"/>
  <c r="V380" i="1"/>
  <c r="U380" i="1"/>
  <c r="Y379" i="1"/>
  <c r="X379" i="1"/>
  <c r="W379" i="1"/>
  <c r="V379" i="1"/>
  <c r="U379" i="1"/>
  <c r="Y378" i="1"/>
  <c r="X378" i="1"/>
  <c r="W378" i="1"/>
  <c r="V378" i="1"/>
  <c r="U378" i="1"/>
  <c r="Y377" i="1"/>
  <c r="X377" i="1"/>
  <c r="W377" i="1"/>
  <c r="V377" i="1"/>
  <c r="U377" i="1"/>
  <c r="Y376" i="1"/>
  <c r="X376" i="1"/>
  <c r="W376" i="1"/>
  <c r="V376" i="1"/>
  <c r="U376" i="1"/>
  <c r="Y375" i="1"/>
  <c r="X375" i="1"/>
  <c r="W375" i="1"/>
  <c r="V375" i="1"/>
  <c r="U375" i="1"/>
  <c r="Y374" i="1"/>
  <c r="X374" i="1"/>
  <c r="W374" i="1"/>
  <c r="V374" i="1"/>
  <c r="U374" i="1"/>
  <c r="Y373" i="1"/>
  <c r="X373" i="1"/>
  <c r="W373" i="1"/>
  <c r="V373" i="1"/>
  <c r="U373" i="1"/>
  <c r="Y372" i="1"/>
  <c r="X372" i="1"/>
  <c r="W372" i="1"/>
  <c r="V372" i="1"/>
  <c r="U372" i="1"/>
  <c r="Y371" i="1"/>
  <c r="X371" i="1"/>
  <c r="W371" i="1"/>
  <c r="V371" i="1"/>
  <c r="U371" i="1"/>
  <c r="Y370" i="1"/>
  <c r="X370" i="1"/>
  <c r="W370" i="1"/>
  <c r="V370" i="1"/>
  <c r="U370" i="1"/>
  <c r="Y369" i="1"/>
  <c r="X369" i="1"/>
  <c r="W369" i="1"/>
  <c r="V369" i="1"/>
  <c r="U369" i="1"/>
  <c r="Y368" i="1"/>
  <c r="X368" i="1"/>
  <c r="W368" i="1"/>
  <c r="V368" i="1"/>
  <c r="U368" i="1"/>
  <c r="Y367" i="1"/>
  <c r="X367" i="1"/>
  <c r="W367" i="1"/>
  <c r="V367" i="1"/>
  <c r="U367" i="1"/>
  <c r="Y366" i="1"/>
  <c r="X366" i="1"/>
  <c r="W366" i="1"/>
  <c r="V366" i="1"/>
  <c r="U366" i="1"/>
  <c r="Y365" i="1"/>
  <c r="X365" i="1"/>
  <c r="W365" i="1"/>
  <c r="V365" i="1"/>
  <c r="U365" i="1"/>
  <c r="Y364" i="1"/>
  <c r="X364" i="1"/>
  <c r="W364" i="1"/>
  <c r="V364" i="1"/>
  <c r="U364" i="1"/>
  <c r="Y363" i="1"/>
  <c r="X363" i="1"/>
  <c r="W363" i="1"/>
  <c r="V363" i="1"/>
  <c r="U363" i="1"/>
  <c r="Y362" i="1"/>
  <c r="X362" i="1"/>
  <c r="W362" i="1"/>
  <c r="V362" i="1"/>
  <c r="U362" i="1"/>
  <c r="Y361" i="1"/>
  <c r="X361" i="1"/>
  <c r="W361" i="1"/>
  <c r="V361" i="1"/>
  <c r="U361" i="1"/>
  <c r="Y360" i="1"/>
  <c r="X360" i="1"/>
  <c r="W360" i="1"/>
  <c r="V360" i="1"/>
  <c r="U360" i="1"/>
  <c r="Y359" i="1"/>
  <c r="X359" i="1"/>
  <c r="W359" i="1"/>
  <c r="V359" i="1"/>
  <c r="U359" i="1"/>
  <c r="Y358" i="1"/>
  <c r="X358" i="1"/>
  <c r="W358" i="1"/>
  <c r="V358" i="1"/>
  <c r="U358" i="1"/>
  <c r="Y357" i="1"/>
  <c r="X357" i="1"/>
  <c r="W357" i="1"/>
  <c r="V357" i="1"/>
  <c r="U357" i="1"/>
  <c r="Y356" i="1"/>
  <c r="X356" i="1"/>
  <c r="W356" i="1"/>
  <c r="V356" i="1"/>
  <c r="U356" i="1"/>
  <c r="Y355" i="1"/>
  <c r="X355" i="1"/>
  <c r="W355" i="1"/>
  <c r="V355" i="1"/>
  <c r="U355" i="1"/>
  <c r="Y354" i="1"/>
  <c r="X354" i="1"/>
  <c r="W354" i="1"/>
  <c r="V354" i="1"/>
  <c r="U354" i="1"/>
  <c r="Y353" i="1"/>
  <c r="X353" i="1"/>
  <c r="W353" i="1"/>
  <c r="V353" i="1"/>
  <c r="U353" i="1"/>
  <c r="Y352" i="1"/>
  <c r="X352" i="1"/>
  <c r="W352" i="1"/>
  <c r="V352" i="1"/>
  <c r="U352" i="1"/>
  <c r="Y351" i="1"/>
  <c r="X351" i="1"/>
  <c r="W351" i="1"/>
  <c r="V351" i="1"/>
  <c r="U351" i="1"/>
  <c r="Y350" i="1"/>
  <c r="X350" i="1"/>
  <c r="W350" i="1"/>
  <c r="V350" i="1"/>
  <c r="U350" i="1"/>
  <c r="Y349" i="1"/>
  <c r="X349" i="1"/>
  <c r="W349" i="1"/>
  <c r="V349" i="1"/>
  <c r="U349" i="1"/>
  <c r="Y348" i="1"/>
  <c r="X348" i="1"/>
  <c r="W348" i="1"/>
  <c r="V348" i="1"/>
  <c r="U348" i="1"/>
  <c r="Y347" i="1"/>
  <c r="X347" i="1"/>
  <c r="W347" i="1"/>
  <c r="V347" i="1"/>
  <c r="U347" i="1"/>
  <c r="Y346" i="1"/>
  <c r="X346" i="1"/>
  <c r="W346" i="1"/>
  <c r="V346" i="1"/>
  <c r="U346" i="1"/>
  <c r="Y345" i="1"/>
  <c r="X345" i="1"/>
  <c r="W345" i="1"/>
  <c r="V345" i="1"/>
  <c r="U345" i="1"/>
  <c r="Y344" i="1"/>
  <c r="X344" i="1"/>
  <c r="W344" i="1"/>
  <c r="V344" i="1"/>
  <c r="U344" i="1"/>
  <c r="Y343" i="1"/>
  <c r="X343" i="1"/>
  <c r="W343" i="1"/>
  <c r="V343" i="1"/>
  <c r="U343" i="1"/>
  <c r="Y342" i="1"/>
  <c r="X342" i="1"/>
  <c r="W342" i="1"/>
  <c r="V342" i="1"/>
  <c r="U342" i="1"/>
  <c r="Y341" i="1"/>
  <c r="X341" i="1"/>
  <c r="W341" i="1"/>
  <c r="V341" i="1"/>
  <c r="U341" i="1"/>
  <c r="Y340" i="1"/>
  <c r="X340" i="1"/>
  <c r="W340" i="1"/>
  <c r="V340" i="1"/>
  <c r="U340" i="1"/>
  <c r="Y339" i="1"/>
  <c r="X339" i="1"/>
  <c r="W339" i="1"/>
  <c r="V339" i="1"/>
  <c r="U339" i="1"/>
  <c r="Y338" i="1"/>
  <c r="X338" i="1"/>
  <c r="W338" i="1"/>
  <c r="V338" i="1"/>
  <c r="U338" i="1"/>
  <c r="Y337" i="1"/>
  <c r="X337" i="1"/>
  <c r="W337" i="1"/>
  <c r="V337" i="1"/>
  <c r="U337" i="1"/>
  <c r="Y336" i="1"/>
  <c r="X336" i="1"/>
  <c r="W336" i="1"/>
  <c r="V336" i="1"/>
  <c r="U336" i="1"/>
  <c r="Y335" i="1"/>
  <c r="X335" i="1"/>
  <c r="W335" i="1"/>
  <c r="V335" i="1"/>
  <c r="U335" i="1"/>
  <c r="Y334" i="1"/>
  <c r="X334" i="1"/>
  <c r="W334" i="1"/>
  <c r="V334" i="1"/>
  <c r="U334" i="1"/>
  <c r="Y333" i="1"/>
  <c r="X333" i="1"/>
  <c r="W333" i="1"/>
  <c r="V333" i="1"/>
  <c r="U333" i="1"/>
  <c r="Y332" i="1"/>
  <c r="X332" i="1"/>
  <c r="W332" i="1"/>
  <c r="V332" i="1"/>
  <c r="U332" i="1"/>
  <c r="Y331" i="1"/>
  <c r="X331" i="1"/>
  <c r="W331" i="1"/>
  <c r="V331" i="1"/>
  <c r="U331" i="1"/>
  <c r="Y330" i="1"/>
  <c r="X330" i="1"/>
  <c r="W330" i="1"/>
  <c r="V330" i="1"/>
  <c r="U330" i="1"/>
  <c r="Y329" i="1"/>
  <c r="X329" i="1"/>
  <c r="W329" i="1"/>
  <c r="V329" i="1"/>
  <c r="U329" i="1"/>
  <c r="Y328" i="1"/>
  <c r="X328" i="1"/>
  <c r="W328" i="1"/>
  <c r="V328" i="1"/>
  <c r="U328" i="1"/>
  <c r="Y327" i="1"/>
  <c r="X327" i="1"/>
  <c r="W327" i="1"/>
  <c r="V327" i="1"/>
  <c r="U327" i="1"/>
  <c r="Y326" i="1"/>
  <c r="X326" i="1"/>
  <c r="W326" i="1"/>
  <c r="V326" i="1"/>
  <c r="U326" i="1"/>
  <c r="Y325" i="1"/>
  <c r="X325" i="1"/>
  <c r="W325" i="1"/>
  <c r="V325" i="1"/>
  <c r="U325" i="1"/>
  <c r="Y324" i="1"/>
  <c r="X324" i="1"/>
  <c r="W324" i="1"/>
  <c r="V324" i="1"/>
  <c r="U324" i="1"/>
  <c r="Y323" i="1"/>
  <c r="X323" i="1"/>
  <c r="W323" i="1"/>
  <c r="V323" i="1"/>
  <c r="U323" i="1"/>
  <c r="Y322" i="1"/>
  <c r="X322" i="1"/>
  <c r="W322" i="1"/>
  <c r="V322" i="1"/>
  <c r="U322" i="1"/>
  <c r="Y321" i="1"/>
  <c r="X321" i="1"/>
  <c r="W321" i="1"/>
  <c r="V321" i="1"/>
  <c r="U321" i="1"/>
  <c r="Y320" i="1"/>
  <c r="X320" i="1"/>
  <c r="W320" i="1"/>
  <c r="V320" i="1"/>
  <c r="U320" i="1"/>
  <c r="Y319" i="1"/>
  <c r="X319" i="1"/>
  <c r="W319" i="1"/>
  <c r="V319" i="1"/>
  <c r="U319" i="1"/>
  <c r="Y318" i="1"/>
  <c r="X318" i="1"/>
  <c r="W318" i="1"/>
  <c r="V318" i="1"/>
  <c r="U318" i="1"/>
  <c r="Y317" i="1"/>
  <c r="X317" i="1"/>
  <c r="W317" i="1"/>
  <c r="V317" i="1"/>
  <c r="U317" i="1"/>
  <c r="Y316" i="1"/>
  <c r="X316" i="1"/>
  <c r="W316" i="1"/>
  <c r="V316" i="1"/>
  <c r="U316" i="1"/>
  <c r="Y315" i="1"/>
  <c r="X315" i="1"/>
  <c r="W315" i="1"/>
  <c r="V315" i="1"/>
  <c r="U315" i="1"/>
  <c r="Y314" i="1"/>
  <c r="X314" i="1"/>
  <c r="W314" i="1"/>
  <c r="V314" i="1"/>
  <c r="U314" i="1"/>
  <c r="Y313" i="1"/>
  <c r="X313" i="1"/>
  <c r="W313" i="1"/>
  <c r="V313" i="1"/>
  <c r="U313" i="1"/>
  <c r="Y312" i="1"/>
  <c r="X312" i="1"/>
  <c r="W312" i="1"/>
  <c r="V312" i="1"/>
  <c r="U312" i="1"/>
  <c r="Y311" i="1"/>
  <c r="X311" i="1"/>
  <c r="W311" i="1"/>
  <c r="V311" i="1"/>
  <c r="U311" i="1"/>
  <c r="Y310" i="1"/>
  <c r="X310" i="1"/>
  <c r="W310" i="1"/>
  <c r="V310" i="1"/>
  <c r="U310" i="1"/>
  <c r="Y309" i="1"/>
  <c r="X309" i="1"/>
  <c r="W309" i="1"/>
  <c r="V309" i="1"/>
  <c r="U309" i="1"/>
  <c r="Y308" i="1"/>
  <c r="X308" i="1"/>
  <c r="W308" i="1"/>
  <c r="V308" i="1"/>
  <c r="U308" i="1"/>
  <c r="Y307" i="1"/>
  <c r="X307" i="1"/>
  <c r="W307" i="1"/>
  <c r="V307" i="1"/>
  <c r="U307" i="1"/>
  <c r="Y306" i="1"/>
  <c r="X306" i="1"/>
  <c r="W306" i="1"/>
  <c r="V306" i="1"/>
  <c r="U306" i="1"/>
  <c r="Y305" i="1"/>
  <c r="X305" i="1"/>
  <c r="W305" i="1"/>
  <c r="V305" i="1"/>
  <c r="U305" i="1"/>
  <c r="Y304" i="1"/>
  <c r="X304" i="1"/>
  <c r="W304" i="1"/>
  <c r="V304" i="1"/>
  <c r="U304" i="1"/>
  <c r="Y303" i="1"/>
  <c r="X303" i="1"/>
  <c r="W303" i="1"/>
  <c r="V303" i="1"/>
  <c r="U303" i="1"/>
  <c r="Y302" i="1"/>
  <c r="X302" i="1"/>
  <c r="W302" i="1"/>
  <c r="V302" i="1"/>
  <c r="U302" i="1"/>
  <c r="Y301" i="1"/>
  <c r="X301" i="1"/>
  <c r="W301" i="1"/>
  <c r="V301" i="1"/>
  <c r="U301" i="1"/>
  <c r="Y300" i="1"/>
  <c r="X300" i="1"/>
  <c r="W300" i="1"/>
  <c r="V300" i="1"/>
  <c r="U300" i="1"/>
  <c r="Y299" i="1"/>
  <c r="X299" i="1"/>
  <c r="W299" i="1"/>
  <c r="V299" i="1"/>
  <c r="U299" i="1"/>
  <c r="Y298" i="1"/>
  <c r="X298" i="1"/>
  <c r="W298" i="1"/>
  <c r="V298" i="1"/>
  <c r="U298" i="1"/>
  <c r="Y297" i="1"/>
  <c r="X297" i="1"/>
  <c r="W297" i="1"/>
  <c r="V297" i="1"/>
  <c r="U297" i="1"/>
  <c r="Y296" i="1"/>
  <c r="X296" i="1"/>
  <c r="W296" i="1"/>
  <c r="V296" i="1"/>
  <c r="U296" i="1"/>
  <c r="Y295" i="1"/>
  <c r="X295" i="1"/>
  <c r="W295" i="1"/>
  <c r="V295" i="1"/>
  <c r="U295" i="1"/>
  <c r="Y294" i="1"/>
  <c r="X294" i="1"/>
  <c r="W294" i="1"/>
  <c r="V294" i="1"/>
  <c r="U294" i="1"/>
  <c r="Y293" i="1"/>
  <c r="X293" i="1"/>
  <c r="W293" i="1"/>
  <c r="V293" i="1"/>
  <c r="U293" i="1"/>
  <c r="Y292" i="1"/>
  <c r="X292" i="1"/>
  <c r="W292" i="1"/>
  <c r="V292" i="1"/>
  <c r="U292" i="1"/>
  <c r="Y291" i="1"/>
  <c r="X291" i="1"/>
  <c r="W291" i="1"/>
  <c r="V291" i="1"/>
  <c r="U291" i="1"/>
  <c r="Y290" i="1"/>
  <c r="X290" i="1"/>
  <c r="W290" i="1"/>
  <c r="V290" i="1"/>
  <c r="U290" i="1"/>
  <c r="Y289" i="1"/>
  <c r="X289" i="1"/>
  <c r="W289" i="1"/>
  <c r="V289" i="1"/>
  <c r="U289" i="1"/>
  <c r="Y288" i="1"/>
  <c r="X288" i="1"/>
  <c r="W288" i="1"/>
  <c r="V288" i="1"/>
  <c r="U288" i="1"/>
  <c r="Y287" i="1"/>
  <c r="X287" i="1"/>
  <c r="W287" i="1"/>
  <c r="V287" i="1"/>
  <c r="U287" i="1"/>
  <c r="Y286" i="1"/>
  <c r="X286" i="1"/>
  <c r="W286" i="1"/>
  <c r="V286" i="1"/>
  <c r="U286" i="1"/>
  <c r="Y285" i="1"/>
  <c r="X285" i="1"/>
  <c r="W285" i="1"/>
  <c r="V285" i="1"/>
  <c r="U285" i="1"/>
  <c r="Y284" i="1"/>
  <c r="X284" i="1"/>
  <c r="W284" i="1"/>
  <c r="V284" i="1"/>
  <c r="U284" i="1"/>
  <c r="Y283" i="1"/>
  <c r="X283" i="1"/>
  <c r="W283" i="1"/>
  <c r="V283" i="1"/>
  <c r="U283" i="1"/>
  <c r="Y282" i="1"/>
  <c r="X282" i="1"/>
  <c r="W282" i="1"/>
  <c r="V282" i="1"/>
  <c r="U282" i="1"/>
  <c r="Y281" i="1"/>
  <c r="X281" i="1"/>
  <c r="W281" i="1"/>
  <c r="V281" i="1"/>
  <c r="U281" i="1"/>
  <c r="Y280" i="1"/>
  <c r="X280" i="1"/>
  <c r="W280" i="1"/>
  <c r="V280" i="1"/>
  <c r="U280" i="1"/>
  <c r="Y279" i="1"/>
  <c r="X279" i="1"/>
  <c r="W279" i="1"/>
  <c r="V279" i="1"/>
  <c r="U279" i="1"/>
  <c r="Y278" i="1"/>
  <c r="X278" i="1"/>
  <c r="W278" i="1"/>
  <c r="V278" i="1"/>
  <c r="U278" i="1"/>
  <c r="Y277" i="1"/>
  <c r="X277" i="1"/>
  <c r="W277" i="1"/>
  <c r="V277" i="1"/>
  <c r="U277" i="1"/>
  <c r="Y276" i="1"/>
  <c r="X276" i="1"/>
  <c r="W276" i="1"/>
  <c r="V276" i="1"/>
  <c r="U276" i="1"/>
  <c r="Y275" i="1"/>
  <c r="X275" i="1"/>
  <c r="W275" i="1"/>
  <c r="V275" i="1"/>
  <c r="U275" i="1"/>
  <c r="Y274" i="1"/>
  <c r="X274" i="1"/>
  <c r="W274" i="1"/>
  <c r="V274" i="1"/>
  <c r="U274" i="1"/>
  <c r="Y273" i="1"/>
  <c r="X273" i="1"/>
  <c r="W273" i="1"/>
  <c r="V273" i="1"/>
  <c r="U273" i="1"/>
  <c r="Y272" i="1"/>
  <c r="X272" i="1"/>
  <c r="W272" i="1"/>
  <c r="V272" i="1"/>
  <c r="U272" i="1"/>
  <c r="Y271" i="1"/>
  <c r="X271" i="1"/>
  <c r="W271" i="1"/>
  <c r="V271" i="1"/>
  <c r="U271" i="1"/>
  <c r="Y270" i="1"/>
  <c r="X270" i="1"/>
  <c r="W270" i="1"/>
  <c r="V270" i="1"/>
  <c r="U270" i="1"/>
  <c r="Y269" i="1"/>
  <c r="X269" i="1"/>
  <c r="W269" i="1"/>
  <c r="V269" i="1"/>
  <c r="U269" i="1"/>
  <c r="Y268" i="1"/>
  <c r="X268" i="1"/>
  <c r="W268" i="1"/>
  <c r="V268" i="1"/>
  <c r="U268" i="1"/>
  <c r="Y267" i="1"/>
  <c r="X267" i="1"/>
  <c r="W267" i="1"/>
  <c r="V267" i="1"/>
  <c r="U267" i="1"/>
  <c r="Y266" i="1"/>
  <c r="X266" i="1"/>
  <c r="W266" i="1"/>
  <c r="V266" i="1"/>
  <c r="U266" i="1"/>
  <c r="Y265" i="1"/>
  <c r="X265" i="1"/>
  <c r="W265" i="1"/>
  <c r="V265" i="1"/>
  <c r="U265" i="1"/>
  <c r="Y264" i="1"/>
  <c r="X264" i="1"/>
  <c r="W264" i="1"/>
  <c r="V264" i="1"/>
  <c r="U264" i="1"/>
  <c r="Y263" i="1"/>
  <c r="X263" i="1"/>
  <c r="W263" i="1"/>
  <c r="V263" i="1"/>
  <c r="U263" i="1"/>
  <c r="Y262" i="1"/>
  <c r="X262" i="1"/>
  <c r="W262" i="1"/>
  <c r="V262" i="1"/>
  <c r="U262" i="1"/>
  <c r="Y261" i="1"/>
  <c r="X261" i="1"/>
  <c r="W261" i="1"/>
  <c r="V261" i="1"/>
  <c r="U261" i="1"/>
  <c r="Y260" i="1"/>
  <c r="X260" i="1"/>
  <c r="W260" i="1"/>
  <c r="V260" i="1"/>
  <c r="U260" i="1"/>
  <c r="Y259" i="1"/>
  <c r="X259" i="1"/>
  <c r="W259" i="1"/>
  <c r="V259" i="1"/>
  <c r="U259" i="1"/>
  <c r="Y258" i="1"/>
  <c r="X258" i="1"/>
  <c r="W258" i="1"/>
  <c r="V258" i="1"/>
  <c r="U258" i="1"/>
  <c r="Y257" i="1"/>
  <c r="X257" i="1"/>
  <c r="W257" i="1"/>
  <c r="V257" i="1"/>
  <c r="U257" i="1"/>
  <c r="Y256" i="1"/>
  <c r="X256" i="1"/>
  <c r="W256" i="1"/>
  <c r="V256" i="1"/>
  <c r="U256" i="1"/>
  <c r="Y255" i="1"/>
  <c r="X255" i="1"/>
  <c r="W255" i="1"/>
  <c r="V255" i="1"/>
  <c r="U255" i="1"/>
  <c r="Y254" i="1"/>
  <c r="X254" i="1"/>
  <c r="W254" i="1"/>
  <c r="V254" i="1"/>
  <c r="U254" i="1"/>
  <c r="Y253" i="1"/>
  <c r="X253" i="1"/>
  <c r="W253" i="1"/>
  <c r="V253" i="1"/>
  <c r="U253" i="1"/>
  <c r="Y252" i="1"/>
  <c r="X252" i="1"/>
  <c r="W252" i="1"/>
  <c r="V252" i="1"/>
  <c r="U252" i="1"/>
  <c r="Y251" i="1"/>
  <c r="X251" i="1"/>
  <c r="W251" i="1"/>
  <c r="V251" i="1"/>
  <c r="U251" i="1"/>
  <c r="Y250" i="1"/>
  <c r="X250" i="1"/>
  <c r="W250" i="1"/>
  <c r="V250" i="1"/>
  <c r="U250" i="1"/>
  <c r="Y249" i="1"/>
  <c r="X249" i="1"/>
  <c r="W249" i="1"/>
  <c r="V249" i="1"/>
  <c r="U249" i="1"/>
  <c r="Y248" i="1"/>
  <c r="X248" i="1"/>
  <c r="W248" i="1"/>
  <c r="V248" i="1"/>
  <c r="U248" i="1"/>
  <c r="Y247" i="1"/>
  <c r="X247" i="1"/>
  <c r="W247" i="1"/>
  <c r="V247" i="1"/>
  <c r="U247" i="1"/>
  <c r="Y246" i="1"/>
  <c r="X246" i="1"/>
  <c r="W246" i="1"/>
  <c r="V246" i="1"/>
  <c r="U246" i="1"/>
  <c r="Y245" i="1"/>
  <c r="X245" i="1"/>
  <c r="W245" i="1"/>
  <c r="V245" i="1"/>
  <c r="U245" i="1"/>
  <c r="Y244" i="1"/>
  <c r="X244" i="1"/>
  <c r="W244" i="1"/>
  <c r="V244" i="1"/>
  <c r="U244" i="1"/>
  <c r="Y243" i="1"/>
  <c r="X243" i="1"/>
  <c r="W243" i="1"/>
  <c r="V243" i="1"/>
  <c r="U243" i="1"/>
  <c r="Y242" i="1"/>
  <c r="X242" i="1"/>
  <c r="W242" i="1"/>
  <c r="V242" i="1"/>
  <c r="U242" i="1"/>
  <c r="Y241" i="1"/>
  <c r="X241" i="1"/>
  <c r="W241" i="1"/>
  <c r="V241" i="1"/>
  <c r="U241" i="1"/>
  <c r="Y240" i="1"/>
  <c r="X240" i="1"/>
  <c r="W240" i="1"/>
  <c r="V240" i="1"/>
  <c r="U240" i="1"/>
  <c r="Y239" i="1"/>
  <c r="X239" i="1"/>
  <c r="W239" i="1"/>
  <c r="V239" i="1"/>
  <c r="U239" i="1"/>
  <c r="Y238" i="1"/>
  <c r="X238" i="1"/>
  <c r="W238" i="1"/>
  <c r="V238" i="1"/>
  <c r="U238" i="1"/>
  <c r="Y237" i="1"/>
  <c r="X237" i="1"/>
  <c r="W237" i="1"/>
  <c r="V237" i="1"/>
  <c r="U237" i="1"/>
  <c r="Y236" i="1"/>
  <c r="X236" i="1"/>
  <c r="W236" i="1"/>
  <c r="V236" i="1"/>
  <c r="U236" i="1"/>
  <c r="Y235" i="1"/>
  <c r="X235" i="1"/>
  <c r="W235" i="1"/>
  <c r="V235" i="1"/>
  <c r="U235" i="1"/>
  <c r="Y234" i="1"/>
  <c r="X234" i="1"/>
  <c r="W234" i="1"/>
  <c r="V234" i="1"/>
  <c r="U234" i="1"/>
  <c r="Y233" i="1"/>
  <c r="X233" i="1"/>
  <c r="W233" i="1"/>
  <c r="V233" i="1"/>
  <c r="U233" i="1"/>
  <c r="Y232" i="1"/>
  <c r="X232" i="1"/>
  <c r="W232" i="1"/>
  <c r="V232" i="1"/>
  <c r="U232" i="1"/>
  <c r="Y231" i="1"/>
  <c r="X231" i="1"/>
  <c r="W231" i="1"/>
  <c r="V231" i="1"/>
  <c r="U231" i="1"/>
  <c r="Y230" i="1"/>
  <c r="X230" i="1"/>
  <c r="W230" i="1"/>
  <c r="V230" i="1"/>
  <c r="U230" i="1"/>
  <c r="Y229" i="1"/>
  <c r="X229" i="1"/>
  <c r="W229" i="1"/>
  <c r="V229" i="1"/>
  <c r="U229" i="1"/>
  <c r="Y228" i="1"/>
  <c r="X228" i="1"/>
  <c r="W228" i="1"/>
  <c r="V228" i="1"/>
  <c r="U228" i="1"/>
  <c r="Y227" i="1"/>
  <c r="X227" i="1"/>
  <c r="W227" i="1"/>
  <c r="V227" i="1"/>
  <c r="U227" i="1"/>
  <c r="Y226" i="1"/>
  <c r="X226" i="1"/>
  <c r="W226" i="1"/>
  <c r="V226" i="1"/>
  <c r="U226" i="1"/>
  <c r="Y225" i="1"/>
  <c r="X225" i="1"/>
  <c r="W225" i="1"/>
  <c r="V225" i="1"/>
  <c r="U225" i="1"/>
  <c r="Y224" i="1"/>
  <c r="X224" i="1"/>
  <c r="W224" i="1"/>
  <c r="V224" i="1"/>
  <c r="U224" i="1"/>
  <c r="Y223" i="1"/>
  <c r="X223" i="1"/>
  <c r="W223" i="1"/>
  <c r="V223" i="1"/>
  <c r="U223" i="1"/>
  <c r="Y222" i="1"/>
  <c r="X222" i="1"/>
  <c r="W222" i="1"/>
  <c r="V222" i="1"/>
  <c r="U222" i="1"/>
  <c r="Y221" i="1"/>
  <c r="X221" i="1"/>
  <c r="W221" i="1"/>
  <c r="V221" i="1"/>
  <c r="U221" i="1"/>
  <c r="Y220" i="1"/>
  <c r="X220" i="1"/>
  <c r="W220" i="1"/>
  <c r="V220" i="1"/>
  <c r="U220" i="1"/>
  <c r="Y219" i="1"/>
  <c r="X219" i="1"/>
  <c r="W219" i="1"/>
  <c r="V219" i="1"/>
  <c r="U219" i="1"/>
  <c r="Y218" i="1"/>
  <c r="X218" i="1"/>
  <c r="W218" i="1"/>
  <c r="V218" i="1"/>
  <c r="U218" i="1"/>
  <c r="Y217" i="1"/>
  <c r="X217" i="1"/>
  <c r="W217" i="1"/>
  <c r="V217" i="1"/>
  <c r="U217" i="1"/>
  <c r="Y216" i="1"/>
  <c r="X216" i="1"/>
  <c r="W216" i="1"/>
  <c r="V216" i="1"/>
  <c r="U216" i="1"/>
  <c r="Y215" i="1"/>
  <c r="X215" i="1"/>
  <c r="W215" i="1"/>
  <c r="V215" i="1"/>
  <c r="U215" i="1"/>
  <c r="Y214" i="1"/>
  <c r="X214" i="1"/>
  <c r="W214" i="1"/>
  <c r="V214" i="1"/>
  <c r="U214" i="1"/>
  <c r="Y213" i="1"/>
  <c r="X213" i="1"/>
  <c r="W213" i="1"/>
  <c r="V213" i="1"/>
  <c r="U213" i="1"/>
  <c r="Y212" i="1"/>
  <c r="X212" i="1"/>
  <c r="W212" i="1"/>
  <c r="V212" i="1"/>
  <c r="U212" i="1"/>
  <c r="Y211" i="1"/>
  <c r="X211" i="1"/>
  <c r="W211" i="1"/>
  <c r="V211" i="1"/>
  <c r="U211" i="1"/>
  <c r="Y210" i="1"/>
  <c r="X210" i="1"/>
  <c r="W210" i="1"/>
  <c r="V210" i="1"/>
  <c r="U210" i="1"/>
  <c r="Y209" i="1"/>
  <c r="X209" i="1"/>
  <c r="W209" i="1"/>
  <c r="V209" i="1"/>
  <c r="U209" i="1"/>
  <c r="Y208" i="1"/>
  <c r="X208" i="1"/>
  <c r="W208" i="1"/>
  <c r="V208" i="1"/>
  <c r="U208" i="1"/>
  <c r="Y207" i="1"/>
  <c r="X207" i="1"/>
  <c r="W207" i="1"/>
  <c r="V207" i="1"/>
  <c r="U207" i="1"/>
  <c r="Y206" i="1"/>
  <c r="X206" i="1"/>
  <c r="W206" i="1"/>
  <c r="V206" i="1"/>
  <c r="U206" i="1"/>
  <c r="Y205" i="1"/>
  <c r="X205" i="1"/>
  <c r="W205" i="1"/>
  <c r="V205" i="1"/>
  <c r="U205" i="1"/>
  <c r="Y204" i="1"/>
  <c r="X204" i="1"/>
  <c r="W204" i="1"/>
  <c r="V204" i="1"/>
  <c r="U204" i="1"/>
  <c r="Y203" i="1"/>
  <c r="X203" i="1"/>
  <c r="W203" i="1"/>
  <c r="V203" i="1"/>
  <c r="U203" i="1"/>
  <c r="Y202" i="1"/>
  <c r="X202" i="1"/>
  <c r="W202" i="1"/>
  <c r="V202" i="1"/>
  <c r="U202" i="1"/>
  <c r="Y201" i="1"/>
  <c r="X201" i="1"/>
  <c r="W201" i="1"/>
  <c r="V201" i="1"/>
  <c r="U201" i="1"/>
  <c r="Y200" i="1"/>
  <c r="X200" i="1"/>
  <c r="W200" i="1"/>
  <c r="V200" i="1"/>
  <c r="U200" i="1"/>
  <c r="Y199" i="1"/>
  <c r="X199" i="1"/>
  <c r="W199" i="1"/>
  <c r="V199" i="1"/>
  <c r="U199" i="1"/>
  <c r="Y198" i="1"/>
  <c r="X198" i="1"/>
  <c r="W198" i="1"/>
  <c r="V198" i="1"/>
  <c r="U198" i="1"/>
  <c r="Y197" i="1"/>
  <c r="X197" i="1"/>
  <c r="W197" i="1"/>
  <c r="V197" i="1"/>
  <c r="U197" i="1"/>
  <c r="Y196" i="1"/>
  <c r="X196" i="1"/>
  <c r="W196" i="1"/>
  <c r="V196" i="1"/>
  <c r="U196" i="1"/>
  <c r="Y195" i="1"/>
  <c r="X195" i="1"/>
  <c r="W195" i="1"/>
  <c r="V195" i="1"/>
  <c r="U195" i="1"/>
  <c r="Y194" i="1"/>
  <c r="X194" i="1"/>
  <c r="W194" i="1"/>
  <c r="V194" i="1"/>
  <c r="U194" i="1"/>
  <c r="Y193" i="1"/>
  <c r="X193" i="1"/>
  <c r="W193" i="1"/>
  <c r="V193" i="1"/>
  <c r="U193" i="1"/>
  <c r="Y192" i="1"/>
  <c r="X192" i="1"/>
  <c r="W192" i="1"/>
  <c r="V192" i="1"/>
  <c r="U192" i="1"/>
  <c r="Y191" i="1"/>
  <c r="X191" i="1"/>
  <c r="W191" i="1"/>
  <c r="V191" i="1"/>
  <c r="U191" i="1"/>
  <c r="Y190" i="1"/>
  <c r="X190" i="1"/>
  <c r="W190" i="1"/>
  <c r="V190" i="1"/>
  <c r="U190" i="1"/>
  <c r="Y189" i="1"/>
  <c r="X189" i="1"/>
  <c r="W189" i="1"/>
  <c r="V189" i="1"/>
  <c r="U189" i="1"/>
  <c r="Y188" i="1"/>
  <c r="X188" i="1"/>
  <c r="W188" i="1"/>
  <c r="V188" i="1"/>
  <c r="U188" i="1"/>
  <c r="Y187" i="1"/>
  <c r="X187" i="1"/>
  <c r="W187" i="1"/>
  <c r="V187" i="1"/>
  <c r="U187" i="1"/>
  <c r="Y186" i="1"/>
  <c r="X186" i="1"/>
  <c r="W186" i="1"/>
  <c r="V186" i="1"/>
  <c r="U186" i="1"/>
  <c r="Y185" i="1"/>
  <c r="X185" i="1"/>
  <c r="W185" i="1"/>
  <c r="V185" i="1"/>
  <c r="U185" i="1"/>
  <c r="Y184" i="1"/>
  <c r="X184" i="1"/>
  <c r="W184" i="1"/>
  <c r="V184" i="1"/>
  <c r="U184" i="1"/>
  <c r="Y183" i="1"/>
  <c r="X183" i="1"/>
  <c r="W183" i="1"/>
  <c r="V183" i="1"/>
  <c r="U183" i="1"/>
  <c r="Y182" i="1"/>
  <c r="X182" i="1"/>
  <c r="W182" i="1"/>
  <c r="V182" i="1"/>
  <c r="U182" i="1"/>
  <c r="Y181" i="1"/>
  <c r="X181" i="1"/>
  <c r="W181" i="1"/>
  <c r="V181" i="1"/>
  <c r="U181" i="1"/>
  <c r="Y180" i="1"/>
  <c r="X180" i="1"/>
  <c r="W180" i="1"/>
  <c r="V180" i="1"/>
  <c r="U180" i="1"/>
  <c r="Y179" i="1"/>
  <c r="X179" i="1"/>
  <c r="W179" i="1"/>
  <c r="V179" i="1"/>
  <c r="U179" i="1"/>
  <c r="Y178" i="1"/>
  <c r="X178" i="1"/>
  <c r="W178" i="1"/>
  <c r="V178" i="1"/>
  <c r="U178" i="1"/>
  <c r="Y177" i="1"/>
  <c r="X177" i="1"/>
  <c r="W177" i="1"/>
  <c r="V177" i="1"/>
  <c r="U177" i="1"/>
  <c r="Y176" i="1"/>
  <c r="X176" i="1"/>
  <c r="W176" i="1"/>
  <c r="V176" i="1"/>
  <c r="U176" i="1"/>
  <c r="Y175" i="1"/>
  <c r="X175" i="1"/>
  <c r="W175" i="1"/>
  <c r="V175" i="1"/>
  <c r="U175" i="1"/>
  <c r="Y174" i="1"/>
  <c r="X174" i="1"/>
  <c r="W174" i="1"/>
  <c r="V174" i="1"/>
  <c r="U174" i="1"/>
  <c r="Y173" i="1"/>
  <c r="X173" i="1"/>
  <c r="W173" i="1"/>
  <c r="V173" i="1"/>
  <c r="U173" i="1"/>
  <c r="Y172" i="1"/>
  <c r="X172" i="1"/>
  <c r="W172" i="1"/>
  <c r="V172" i="1"/>
  <c r="U172" i="1"/>
  <c r="Y171" i="1"/>
  <c r="X171" i="1"/>
  <c r="W171" i="1"/>
  <c r="V171" i="1"/>
  <c r="U171" i="1"/>
  <c r="Y170" i="1"/>
  <c r="X170" i="1"/>
  <c r="W170" i="1"/>
  <c r="V170" i="1"/>
  <c r="U170" i="1"/>
  <c r="Y169" i="1"/>
  <c r="X169" i="1"/>
  <c r="W169" i="1"/>
  <c r="V169" i="1"/>
  <c r="U169" i="1"/>
  <c r="Y168" i="1"/>
  <c r="X168" i="1"/>
  <c r="W168" i="1"/>
  <c r="V168" i="1"/>
  <c r="U168" i="1"/>
  <c r="Y167" i="1"/>
  <c r="X167" i="1"/>
  <c r="W167" i="1"/>
  <c r="V167" i="1"/>
  <c r="U167" i="1"/>
  <c r="Y166" i="1"/>
  <c r="X166" i="1"/>
  <c r="W166" i="1"/>
  <c r="V166" i="1"/>
  <c r="U166" i="1"/>
  <c r="Y165" i="1"/>
  <c r="X165" i="1"/>
  <c r="W165" i="1"/>
  <c r="V165" i="1"/>
  <c r="U165" i="1"/>
  <c r="Y164" i="1"/>
  <c r="X164" i="1"/>
  <c r="W164" i="1"/>
  <c r="V164" i="1"/>
  <c r="U164" i="1"/>
  <c r="Y163" i="1"/>
  <c r="X163" i="1"/>
  <c r="W163" i="1"/>
  <c r="V163" i="1"/>
  <c r="U163" i="1"/>
  <c r="Y162" i="1"/>
  <c r="X162" i="1"/>
  <c r="W162" i="1"/>
  <c r="V162" i="1"/>
  <c r="U162" i="1"/>
  <c r="Y161" i="1"/>
  <c r="X161" i="1"/>
  <c r="W161" i="1"/>
  <c r="V161" i="1"/>
  <c r="U161" i="1"/>
  <c r="Y160" i="1"/>
  <c r="X160" i="1"/>
  <c r="W160" i="1"/>
  <c r="V160" i="1"/>
  <c r="U160" i="1"/>
  <c r="Y159" i="1"/>
  <c r="X159" i="1"/>
  <c r="W159" i="1"/>
  <c r="V159" i="1"/>
  <c r="U159" i="1"/>
  <c r="Y158" i="1"/>
  <c r="X158" i="1"/>
  <c r="W158" i="1"/>
  <c r="V158" i="1"/>
  <c r="U158" i="1"/>
  <c r="Y157" i="1"/>
  <c r="X157" i="1"/>
  <c r="W157" i="1"/>
  <c r="V157" i="1"/>
  <c r="U157" i="1"/>
  <c r="Y156" i="1"/>
  <c r="X156" i="1"/>
  <c r="W156" i="1"/>
  <c r="V156" i="1"/>
  <c r="U156" i="1"/>
  <c r="Y155" i="1"/>
  <c r="X155" i="1"/>
  <c r="W155" i="1"/>
  <c r="V155" i="1"/>
  <c r="U155" i="1"/>
  <c r="Y154" i="1"/>
  <c r="X154" i="1"/>
  <c r="W154" i="1"/>
  <c r="V154" i="1"/>
  <c r="U154" i="1"/>
  <c r="Y153" i="1"/>
  <c r="X153" i="1"/>
  <c r="W153" i="1"/>
  <c r="V153" i="1"/>
  <c r="U153" i="1"/>
  <c r="Y152" i="1"/>
  <c r="X152" i="1"/>
  <c r="W152" i="1"/>
  <c r="V152" i="1"/>
  <c r="U152" i="1"/>
  <c r="Y151" i="1"/>
  <c r="X151" i="1"/>
  <c r="W151" i="1"/>
  <c r="V151" i="1"/>
  <c r="U151" i="1"/>
  <c r="Y150" i="1"/>
  <c r="X150" i="1"/>
  <c r="W150" i="1"/>
  <c r="V150" i="1"/>
  <c r="U150" i="1"/>
  <c r="Y149" i="1"/>
  <c r="X149" i="1"/>
  <c r="W149" i="1"/>
  <c r="V149" i="1"/>
  <c r="U149" i="1"/>
  <c r="Y148" i="1"/>
  <c r="X148" i="1"/>
  <c r="W148" i="1"/>
  <c r="V148" i="1"/>
  <c r="U148" i="1"/>
  <c r="Y147" i="1"/>
  <c r="X147" i="1"/>
  <c r="W147" i="1"/>
  <c r="V147" i="1"/>
  <c r="U147" i="1"/>
  <c r="Y146" i="1"/>
  <c r="X146" i="1"/>
  <c r="W146" i="1"/>
  <c r="V146" i="1"/>
  <c r="U146" i="1"/>
  <c r="Y145" i="1"/>
  <c r="X145" i="1"/>
  <c r="W145" i="1"/>
  <c r="V145" i="1"/>
  <c r="U145" i="1"/>
  <c r="Y144" i="1"/>
  <c r="X144" i="1"/>
  <c r="W144" i="1"/>
  <c r="V144" i="1"/>
  <c r="U144" i="1"/>
  <c r="Y143" i="1"/>
  <c r="X143" i="1"/>
  <c r="W143" i="1"/>
  <c r="V143" i="1"/>
  <c r="U143" i="1"/>
  <c r="Y142" i="1"/>
  <c r="X142" i="1"/>
  <c r="W142" i="1"/>
  <c r="V142" i="1"/>
  <c r="U142" i="1"/>
  <c r="Y141" i="1"/>
  <c r="X141" i="1"/>
  <c r="W141" i="1"/>
  <c r="V141" i="1"/>
  <c r="U141" i="1"/>
  <c r="Y140" i="1"/>
  <c r="X140" i="1"/>
  <c r="W140" i="1"/>
  <c r="V140" i="1"/>
  <c r="U140" i="1"/>
  <c r="Y139" i="1"/>
  <c r="X139" i="1"/>
  <c r="W139" i="1"/>
  <c r="V139" i="1"/>
  <c r="U139" i="1"/>
  <c r="Y138" i="1"/>
  <c r="X138" i="1"/>
  <c r="W138" i="1"/>
  <c r="V138" i="1"/>
  <c r="U138" i="1"/>
  <c r="Y137" i="1"/>
  <c r="X137" i="1"/>
  <c r="W137" i="1"/>
  <c r="V137" i="1"/>
  <c r="U137" i="1"/>
  <c r="Y136" i="1"/>
  <c r="X136" i="1"/>
  <c r="W136" i="1"/>
  <c r="V136" i="1"/>
  <c r="U136" i="1"/>
  <c r="Y135" i="1"/>
  <c r="X135" i="1"/>
  <c r="W135" i="1"/>
  <c r="V135" i="1"/>
  <c r="U135" i="1"/>
  <c r="Y134" i="1"/>
  <c r="X134" i="1"/>
  <c r="W134" i="1"/>
  <c r="V134" i="1"/>
  <c r="U134" i="1"/>
  <c r="Y133" i="1"/>
  <c r="X133" i="1"/>
  <c r="W133" i="1"/>
  <c r="V133" i="1"/>
  <c r="U133" i="1"/>
  <c r="Y132" i="1"/>
  <c r="X132" i="1"/>
  <c r="W132" i="1"/>
  <c r="V132" i="1"/>
  <c r="U132" i="1"/>
  <c r="Y131" i="1"/>
  <c r="X131" i="1"/>
  <c r="W131" i="1"/>
  <c r="V131" i="1"/>
  <c r="U131" i="1"/>
  <c r="Y130" i="1"/>
  <c r="X130" i="1"/>
  <c r="W130" i="1"/>
  <c r="V130" i="1"/>
  <c r="U130" i="1"/>
  <c r="Y129" i="1"/>
  <c r="X129" i="1"/>
  <c r="W129" i="1"/>
  <c r="V129" i="1"/>
  <c r="U129" i="1"/>
  <c r="Y128" i="1"/>
  <c r="X128" i="1"/>
  <c r="W128" i="1"/>
  <c r="V128" i="1"/>
  <c r="U128" i="1"/>
  <c r="Y127" i="1"/>
  <c r="X127" i="1"/>
  <c r="W127" i="1"/>
  <c r="V127" i="1"/>
  <c r="U127" i="1"/>
  <c r="Y126" i="1"/>
  <c r="X126" i="1"/>
  <c r="W126" i="1"/>
  <c r="V126" i="1"/>
  <c r="U126" i="1"/>
  <c r="Y125" i="1"/>
  <c r="X125" i="1"/>
  <c r="W125" i="1"/>
  <c r="V125" i="1"/>
  <c r="U125" i="1"/>
  <c r="Y124" i="1"/>
  <c r="X124" i="1"/>
  <c r="W124" i="1"/>
  <c r="V124" i="1"/>
  <c r="U124" i="1"/>
  <c r="Y123" i="1"/>
  <c r="X123" i="1"/>
  <c r="W123" i="1"/>
  <c r="V123" i="1"/>
  <c r="U123" i="1"/>
  <c r="Y122" i="1"/>
  <c r="X122" i="1"/>
  <c r="W122" i="1"/>
  <c r="V122" i="1"/>
  <c r="U122" i="1"/>
  <c r="Y121" i="1"/>
  <c r="X121" i="1"/>
  <c r="W121" i="1"/>
  <c r="V121" i="1"/>
  <c r="U121" i="1"/>
  <c r="Y120" i="1"/>
  <c r="X120" i="1"/>
  <c r="W120" i="1"/>
  <c r="V120" i="1"/>
  <c r="U120" i="1"/>
  <c r="Y119" i="1"/>
  <c r="X119" i="1"/>
  <c r="W119" i="1"/>
  <c r="V119" i="1"/>
  <c r="U119" i="1"/>
  <c r="Y118" i="1"/>
  <c r="X118" i="1"/>
  <c r="W118" i="1"/>
  <c r="V118" i="1"/>
  <c r="U118" i="1"/>
  <c r="Y117" i="1"/>
  <c r="X117" i="1"/>
  <c r="W117" i="1"/>
  <c r="V117" i="1"/>
  <c r="U117" i="1"/>
  <c r="Y116" i="1"/>
  <c r="X116" i="1"/>
  <c r="W116" i="1"/>
  <c r="V116" i="1"/>
  <c r="U116" i="1"/>
  <c r="Y115" i="1"/>
  <c r="X115" i="1"/>
  <c r="W115" i="1"/>
  <c r="V115" i="1"/>
  <c r="U115" i="1"/>
  <c r="Y114" i="1"/>
  <c r="X114" i="1"/>
  <c r="W114" i="1"/>
  <c r="V114" i="1"/>
  <c r="U114" i="1"/>
  <c r="Y113" i="1"/>
  <c r="X113" i="1"/>
  <c r="W113" i="1"/>
  <c r="V113" i="1"/>
  <c r="U113" i="1"/>
  <c r="Y112" i="1"/>
  <c r="X112" i="1"/>
  <c r="W112" i="1"/>
  <c r="V112" i="1"/>
  <c r="U112" i="1"/>
  <c r="Y111" i="1"/>
  <c r="X111" i="1"/>
  <c r="W111" i="1"/>
  <c r="V111" i="1"/>
  <c r="U111" i="1"/>
  <c r="Y110" i="1"/>
  <c r="X110" i="1"/>
  <c r="W110" i="1"/>
  <c r="V110" i="1"/>
  <c r="U110" i="1"/>
  <c r="Y109" i="1"/>
  <c r="X109" i="1"/>
  <c r="W109" i="1"/>
  <c r="V109" i="1"/>
  <c r="U109" i="1"/>
  <c r="Y108" i="1"/>
  <c r="X108" i="1"/>
  <c r="W108" i="1"/>
  <c r="V108" i="1"/>
  <c r="U108" i="1"/>
  <c r="Y107" i="1"/>
  <c r="X107" i="1"/>
  <c r="W107" i="1"/>
  <c r="V107" i="1"/>
  <c r="U107" i="1"/>
  <c r="Y106" i="1"/>
  <c r="X106" i="1"/>
  <c r="W106" i="1"/>
  <c r="V106" i="1"/>
  <c r="U106" i="1"/>
  <c r="Y105" i="1"/>
  <c r="X105" i="1"/>
  <c r="W105" i="1"/>
  <c r="V105" i="1"/>
  <c r="U105" i="1"/>
  <c r="Y104" i="1"/>
  <c r="X104" i="1"/>
  <c r="W104" i="1"/>
  <c r="V104" i="1"/>
  <c r="U104" i="1"/>
  <c r="Y103" i="1"/>
  <c r="X103" i="1"/>
  <c r="W103" i="1"/>
  <c r="V103" i="1"/>
  <c r="U103" i="1"/>
  <c r="Y102" i="1"/>
  <c r="X102" i="1"/>
  <c r="W102" i="1"/>
  <c r="V102" i="1"/>
  <c r="U102" i="1"/>
  <c r="Y101" i="1"/>
  <c r="X101" i="1"/>
  <c r="W101" i="1"/>
  <c r="V101" i="1"/>
  <c r="U101" i="1"/>
  <c r="Y100" i="1"/>
  <c r="X100" i="1"/>
  <c r="W100" i="1"/>
  <c r="V100" i="1"/>
  <c r="U100" i="1"/>
  <c r="Y99" i="1"/>
  <c r="X99" i="1"/>
  <c r="W99" i="1"/>
  <c r="V99" i="1"/>
  <c r="U99" i="1"/>
  <c r="Y98" i="1"/>
  <c r="X98" i="1"/>
  <c r="W98" i="1"/>
  <c r="V98" i="1"/>
  <c r="U98" i="1"/>
  <c r="Y97" i="1"/>
  <c r="X97" i="1"/>
  <c r="W97" i="1"/>
  <c r="V97" i="1"/>
  <c r="U97" i="1"/>
  <c r="Y96" i="1"/>
  <c r="X96" i="1"/>
  <c r="W96" i="1"/>
  <c r="V96" i="1"/>
  <c r="U96" i="1"/>
  <c r="Y95" i="1"/>
  <c r="X95" i="1"/>
  <c r="W95" i="1"/>
  <c r="V95" i="1"/>
  <c r="U95" i="1"/>
  <c r="Y94" i="1"/>
  <c r="X94" i="1"/>
  <c r="W94" i="1"/>
  <c r="V94" i="1"/>
  <c r="U94" i="1"/>
  <c r="Y93" i="1"/>
  <c r="X93" i="1"/>
  <c r="W93" i="1"/>
  <c r="V93" i="1"/>
  <c r="U93" i="1"/>
  <c r="Y92" i="1"/>
  <c r="X92" i="1"/>
  <c r="W92" i="1"/>
  <c r="V92" i="1"/>
  <c r="U92" i="1"/>
  <c r="Y91" i="1"/>
  <c r="X91" i="1"/>
  <c r="W91" i="1"/>
  <c r="V91" i="1"/>
  <c r="U91" i="1"/>
  <c r="Y90" i="1"/>
  <c r="X90" i="1"/>
  <c r="W90" i="1"/>
  <c r="V90" i="1"/>
  <c r="U90" i="1"/>
  <c r="Y89" i="1"/>
  <c r="X89" i="1"/>
  <c r="W89" i="1"/>
  <c r="V89" i="1"/>
  <c r="U89" i="1"/>
  <c r="Y88" i="1"/>
  <c r="X88" i="1"/>
  <c r="W88" i="1"/>
  <c r="V88" i="1"/>
  <c r="U88" i="1"/>
  <c r="Y87" i="1"/>
  <c r="X87" i="1"/>
  <c r="W87" i="1"/>
  <c r="V87" i="1"/>
  <c r="U87" i="1"/>
  <c r="Y86" i="1"/>
  <c r="X86" i="1"/>
  <c r="W86" i="1"/>
  <c r="V86" i="1"/>
  <c r="U86" i="1"/>
  <c r="Y85" i="1"/>
  <c r="X85" i="1"/>
  <c r="W85" i="1"/>
  <c r="V85" i="1"/>
  <c r="U85" i="1"/>
  <c r="Y84" i="1"/>
  <c r="X84" i="1"/>
  <c r="W84" i="1"/>
  <c r="V84" i="1"/>
  <c r="U84" i="1"/>
  <c r="Y83" i="1"/>
  <c r="X83" i="1"/>
  <c r="W83" i="1"/>
  <c r="V83" i="1"/>
  <c r="U83" i="1"/>
  <c r="Y82" i="1"/>
  <c r="X82" i="1"/>
  <c r="W82" i="1"/>
  <c r="V82" i="1"/>
  <c r="U82" i="1"/>
  <c r="Y81" i="1"/>
  <c r="X81" i="1"/>
  <c r="W81" i="1"/>
  <c r="V81" i="1"/>
  <c r="U81" i="1"/>
  <c r="Y80" i="1"/>
  <c r="X80" i="1"/>
  <c r="W80" i="1"/>
  <c r="V80" i="1"/>
  <c r="U80" i="1"/>
  <c r="Y79" i="1"/>
  <c r="X79" i="1"/>
  <c r="W79" i="1"/>
  <c r="V79" i="1"/>
  <c r="U79" i="1"/>
  <c r="Y78" i="1"/>
  <c r="X78" i="1"/>
  <c r="W78" i="1"/>
  <c r="V78" i="1"/>
  <c r="U78" i="1"/>
  <c r="Y77" i="1"/>
  <c r="X77" i="1"/>
  <c r="W77" i="1"/>
  <c r="V77" i="1"/>
  <c r="U77" i="1"/>
  <c r="Y76" i="1"/>
  <c r="X76" i="1"/>
  <c r="W76" i="1"/>
  <c r="V76" i="1"/>
  <c r="U76" i="1"/>
  <c r="Y75" i="1"/>
  <c r="X75" i="1"/>
  <c r="W75" i="1"/>
  <c r="V75" i="1"/>
  <c r="U75" i="1"/>
  <c r="Y74" i="1"/>
  <c r="X74" i="1"/>
  <c r="W74" i="1"/>
  <c r="V74" i="1"/>
  <c r="U74" i="1"/>
  <c r="Y73" i="1"/>
  <c r="X73" i="1"/>
  <c r="W73" i="1"/>
  <c r="V73" i="1"/>
  <c r="U73" i="1"/>
  <c r="Y72" i="1"/>
  <c r="X72" i="1"/>
  <c r="W72" i="1"/>
  <c r="V72" i="1"/>
  <c r="U72" i="1"/>
  <c r="Y71" i="1"/>
  <c r="X71" i="1"/>
  <c r="W71" i="1"/>
  <c r="V71" i="1"/>
  <c r="U71" i="1"/>
  <c r="Y70" i="1"/>
  <c r="X70" i="1"/>
  <c r="W70" i="1"/>
  <c r="V70" i="1"/>
  <c r="U70" i="1"/>
  <c r="Y69" i="1"/>
  <c r="X69" i="1"/>
  <c r="W69" i="1"/>
  <c r="V69" i="1"/>
  <c r="U69" i="1"/>
  <c r="Y68" i="1"/>
  <c r="X68" i="1"/>
  <c r="W68" i="1"/>
  <c r="V68" i="1"/>
  <c r="U68" i="1"/>
  <c r="Y67" i="1"/>
  <c r="X67" i="1"/>
  <c r="W67" i="1"/>
  <c r="V67" i="1"/>
  <c r="U67" i="1"/>
  <c r="Y66" i="1"/>
  <c r="X66" i="1"/>
  <c r="W66" i="1"/>
  <c r="V66" i="1"/>
  <c r="U66" i="1"/>
  <c r="Y65" i="1"/>
  <c r="X65" i="1"/>
  <c r="W65" i="1"/>
  <c r="V65" i="1"/>
  <c r="U65" i="1"/>
  <c r="Y64" i="1"/>
  <c r="X64" i="1"/>
  <c r="W64" i="1"/>
  <c r="V64" i="1"/>
  <c r="U64" i="1"/>
  <c r="Y63" i="1"/>
  <c r="X63" i="1"/>
  <c r="W63" i="1"/>
  <c r="V63" i="1"/>
  <c r="U63" i="1"/>
  <c r="Y62" i="1"/>
  <c r="X62" i="1"/>
  <c r="W62" i="1"/>
  <c r="V62" i="1"/>
  <c r="U62" i="1"/>
  <c r="Y61" i="1"/>
  <c r="X61" i="1"/>
  <c r="W61" i="1"/>
  <c r="V61" i="1"/>
  <c r="U61" i="1"/>
  <c r="Y60" i="1"/>
  <c r="X60" i="1"/>
  <c r="W60" i="1"/>
  <c r="V60" i="1"/>
  <c r="U60" i="1"/>
  <c r="Y59" i="1"/>
  <c r="X59" i="1"/>
  <c r="W59" i="1"/>
  <c r="V59" i="1"/>
  <c r="U59" i="1"/>
  <c r="Y58" i="1"/>
  <c r="X58" i="1"/>
  <c r="W58" i="1"/>
  <c r="V58" i="1"/>
  <c r="U58" i="1"/>
  <c r="Y57" i="1"/>
  <c r="X57" i="1"/>
  <c r="W57" i="1"/>
  <c r="V57" i="1"/>
  <c r="U57" i="1"/>
  <c r="Y56" i="1"/>
  <c r="X56" i="1"/>
  <c r="W56" i="1"/>
  <c r="V56" i="1"/>
  <c r="U56" i="1"/>
  <c r="Y55" i="1"/>
  <c r="X55" i="1"/>
  <c r="W55" i="1"/>
  <c r="V55" i="1"/>
  <c r="U55" i="1"/>
  <c r="Y54" i="1"/>
  <c r="X54" i="1"/>
  <c r="W54" i="1"/>
  <c r="V54" i="1"/>
  <c r="U54" i="1"/>
  <c r="Y53" i="1"/>
  <c r="X53" i="1"/>
  <c r="W53" i="1"/>
  <c r="V53" i="1"/>
  <c r="U53" i="1"/>
  <c r="Y52" i="1"/>
  <c r="X52" i="1"/>
  <c r="W52" i="1"/>
  <c r="V52" i="1"/>
  <c r="U52" i="1"/>
  <c r="Y51" i="1"/>
  <c r="X51" i="1"/>
  <c r="W51" i="1"/>
  <c r="V51" i="1"/>
  <c r="U51" i="1"/>
  <c r="Y50" i="1"/>
  <c r="X50" i="1"/>
  <c r="W50" i="1"/>
  <c r="V50" i="1"/>
  <c r="U50" i="1"/>
  <c r="Y49" i="1"/>
  <c r="X49" i="1"/>
  <c r="W49" i="1"/>
  <c r="V49" i="1"/>
  <c r="U49" i="1"/>
  <c r="Y48" i="1"/>
  <c r="X48" i="1"/>
  <c r="W48" i="1"/>
  <c r="V48" i="1"/>
  <c r="U48" i="1"/>
  <c r="Y47" i="1"/>
  <c r="X47" i="1"/>
  <c r="W47" i="1"/>
  <c r="V47" i="1"/>
  <c r="U47" i="1"/>
  <c r="Y46" i="1"/>
  <c r="X46" i="1"/>
  <c r="W46" i="1"/>
  <c r="V46" i="1"/>
  <c r="U46" i="1"/>
  <c r="Y45" i="1"/>
  <c r="X45" i="1"/>
  <c r="W45" i="1"/>
  <c r="V45" i="1"/>
  <c r="U45" i="1"/>
  <c r="Y44" i="1"/>
  <c r="X44" i="1"/>
  <c r="W44" i="1"/>
  <c r="V44" i="1"/>
  <c r="U44" i="1"/>
  <c r="Y43" i="1"/>
  <c r="X43" i="1"/>
  <c r="W43" i="1"/>
  <c r="V43" i="1"/>
  <c r="U43" i="1"/>
  <c r="Y42" i="1"/>
  <c r="X42" i="1"/>
  <c r="W42" i="1"/>
  <c r="V42" i="1"/>
  <c r="U42" i="1"/>
  <c r="Y41" i="1"/>
  <c r="X41" i="1"/>
  <c r="W41" i="1"/>
  <c r="V41" i="1"/>
  <c r="U41" i="1"/>
  <c r="Y40" i="1"/>
  <c r="X40" i="1"/>
  <c r="W40" i="1"/>
  <c r="V40" i="1"/>
  <c r="U40" i="1"/>
  <c r="Y39" i="1"/>
  <c r="X39" i="1"/>
  <c r="W39" i="1"/>
  <c r="V39" i="1"/>
  <c r="U39" i="1"/>
  <c r="Y38" i="1"/>
  <c r="X38" i="1"/>
  <c r="W38" i="1"/>
  <c r="V38" i="1"/>
  <c r="U38" i="1"/>
  <c r="Y37" i="1"/>
  <c r="X37" i="1"/>
  <c r="W37" i="1"/>
  <c r="V37" i="1"/>
  <c r="U37" i="1"/>
  <c r="Y36" i="1"/>
  <c r="X36" i="1"/>
  <c r="W36" i="1"/>
  <c r="V36" i="1"/>
  <c r="U36" i="1"/>
  <c r="Y35" i="1"/>
  <c r="X35" i="1"/>
  <c r="W35" i="1"/>
  <c r="V35" i="1"/>
  <c r="U35" i="1"/>
  <c r="Y34" i="1"/>
  <c r="X34" i="1"/>
  <c r="W34" i="1"/>
  <c r="V34" i="1"/>
  <c r="U34" i="1"/>
  <c r="Y33" i="1"/>
  <c r="X33" i="1"/>
  <c r="W33" i="1"/>
  <c r="V33" i="1"/>
  <c r="U33" i="1"/>
  <c r="Y32" i="1"/>
  <c r="X32" i="1"/>
  <c r="W32" i="1"/>
  <c r="V32" i="1"/>
  <c r="U32" i="1"/>
  <c r="Y31" i="1"/>
  <c r="X31" i="1"/>
  <c r="W31" i="1"/>
  <c r="V31" i="1"/>
  <c r="U31" i="1"/>
  <c r="Y30" i="1"/>
  <c r="X30" i="1"/>
  <c r="W30" i="1"/>
  <c r="V30" i="1"/>
  <c r="U30" i="1"/>
  <c r="Y29" i="1"/>
  <c r="X29" i="1"/>
  <c r="W29" i="1"/>
  <c r="V29" i="1"/>
  <c r="U29" i="1"/>
  <c r="Y28" i="1"/>
  <c r="X28" i="1"/>
  <c r="W28" i="1"/>
  <c r="V28" i="1"/>
  <c r="U28" i="1"/>
  <c r="Y27" i="1"/>
  <c r="X27" i="1"/>
  <c r="W27" i="1"/>
  <c r="V27" i="1"/>
  <c r="U27" i="1"/>
  <c r="Y26" i="1"/>
  <c r="X26" i="1"/>
  <c r="W26" i="1"/>
  <c r="V26" i="1"/>
  <c r="U26" i="1"/>
  <c r="Y25" i="1"/>
  <c r="X25" i="1"/>
  <c r="W25" i="1"/>
  <c r="V25" i="1"/>
  <c r="U25" i="1"/>
  <c r="Y24" i="1"/>
  <c r="X24" i="1"/>
  <c r="W24" i="1"/>
  <c r="V24" i="1"/>
  <c r="U24" i="1"/>
  <c r="Y23" i="1"/>
  <c r="X23" i="1"/>
  <c r="W23" i="1"/>
  <c r="V23" i="1"/>
  <c r="U23" i="1"/>
  <c r="Y22" i="1"/>
  <c r="X22" i="1"/>
  <c r="W22" i="1"/>
  <c r="V22" i="1"/>
  <c r="U22" i="1"/>
  <c r="Y21" i="1"/>
  <c r="X21" i="1"/>
  <c r="W21" i="1"/>
  <c r="V21" i="1"/>
  <c r="U21" i="1"/>
  <c r="Y20" i="1"/>
  <c r="X20" i="1"/>
  <c r="W20" i="1"/>
  <c r="V20" i="1"/>
  <c r="U20" i="1"/>
  <c r="Y19" i="1"/>
  <c r="X19" i="1"/>
  <c r="W19" i="1"/>
  <c r="V19" i="1"/>
  <c r="U19" i="1"/>
  <c r="Y18" i="1"/>
  <c r="X18" i="1"/>
  <c r="W18" i="1"/>
  <c r="V18" i="1"/>
  <c r="U18" i="1"/>
  <c r="Y17" i="1"/>
  <c r="X17" i="1"/>
  <c r="W17" i="1"/>
  <c r="V17" i="1"/>
  <c r="U17" i="1"/>
  <c r="Y16" i="1"/>
  <c r="X16" i="1"/>
  <c r="W16" i="1"/>
  <c r="V16" i="1"/>
  <c r="U16" i="1"/>
  <c r="Y15" i="1"/>
  <c r="X15" i="1"/>
  <c r="W15" i="1"/>
  <c r="V15" i="1"/>
  <c r="U15" i="1"/>
  <c r="Y14" i="1"/>
  <c r="X14" i="1"/>
  <c r="W14" i="1"/>
  <c r="V14" i="1"/>
  <c r="U14" i="1"/>
  <c r="Y13" i="1"/>
  <c r="X13" i="1"/>
  <c r="W13" i="1"/>
  <c r="V13" i="1"/>
  <c r="U13" i="1"/>
  <c r="Y12" i="1"/>
  <c r="X12" i="1"/>
  <c r="W12" i="1"/>
  <c r="V12" i="1"/>
  <c r="U12" i="1"/>
  <c r="Y11" i="1"/>
  <c r="X11" i="1"/>
  <c r="W11" i="1"/>
  <c r="V11" i="1"/>
  <c r="U11" i="1"/>
  <c r="Y10" i="1"/>
  <c r="X10" i="1"/>
  <c r="W10" i="1"/>
  <c r="V10" i="1"/>
  <c r="U10" i="1"/>
  <c r="Y9" i="1"/>
  <c r="X9" i="1"/>
  <c r="W9" i="1"/>
  <c r="V9" i="1"/>
  <c r="U9" i="1"/>
  <c r="Y8" i="1"/>
  <c r="X8" i="1"/>
  <c r="W8" i="1"/>
  <c r="V8" i="1"/>
  <c r="U8" i="1"/>
  <c r="Y7" i="1"/>
  <c r="X7" i="1"/>
  <c r="W7" i="1"/>
  <c r="V7" i="1"/>
  <c r="U7" i="1"/>
  <c r="Y6" i="1"/>
  <c r="X6" i="1"/>
  <c r="W6" i="1"/>
  <c r="V6" i="1"/>
  <c r="U6" i="1"/>
  <c r="Y5" i="1"/>
  <c r="X5" i="1"/>
  <c r="W5" i="1"/>
  <c r="V5" i="1"/>
  <c r="U5" i="1"/>
  <c r="Y4" i="1"/>
  <c r="X4" i="1"/>
  <c r="W4" i="1"/>
  <c r="V4" i="1"/>
  <c r="U4" i="1"/>
  <c r="Y3" i="1"/>
  <c r="X3" i="1"/>
  <c r="W3" i="1"/>
  <c r="V3" i="1"/>
  <c r="U3" i="1"/>
  <c r="Y2" i="1"/>
  <c r="X2" i="1"/>
  <c r="W2" i="1"/>
  <c r="V2" i="1"/>
  <c r="U2" i="1"/>
  <c r="B4" i="4"/>
  <c r="B3" i="4"/>
  <c r="B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AAF19D-F39F-4BB6-B433-A1EFBDD0306D}" keepAlive="1" name="Query - churn-bigml-20" description="Connection to the 'churn-bigml-20' query in the workbook." type="5" refreshedVersion="8" background="1" saveData="1">
    <dbPr connection="Provider=Microsoft.Mashup.OleDb.1;Data Source=$Workbook$;Location=churn-bigml-20;Extended Properties=&quot;&quot;" command="SELECT * FROM [churn-bigml-20]"/>
  </connection>
  <connection id="2" xr16:uid="{3A095EE2-2F9E-4574-8ADF-6D035620B01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B4A5F956-1A34-45BE-B8E5-CE50B3F0D59B}" name="WorksheetConnection_Level3_Final_Project.xlsx!churn_bigml_20" type="102" refreshedVersion="8" minRefreshableVersion="5">
    <extLst>
      <ext xmlns:x15="http://schemas.microsoft.com/office/spreadsheetml/2010/11/main" uri="{DE250136-89BD-433C-8126-D09CA5730AF9}">
        <x15:connection id="churn_bigml_20">
          <x15:rangePr sourceName="_xlcn.WorksheetConnection_Level3_Final_Project.xlsxchurn_bigml_20"/>
        </x15:connection>
      </ext>
    </extLst>
  </connection>
  <connection id="4" xr16:uid="{DB6AE398-19F9-4133-A86D-AF6A72D260CA}" name="WorksheetConnection_Level3_Final_Project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Level3_Final_Project.xlsxTable2"/>
        </x15:connection>
      </ext>
    </extLst>
  </connection>
</connections>
</file>

<file path=xl/sharedStrings.xml><?xml version="1.0" encoding="utf-8"?>
<sst xmlns="http://schemas.openxmlformats.org/spreadsheetml/2006/main" count="2208" uniqueCount="87">
  <si>
    <t>State</t>
  </si>
  <si>
    <t>Account length</t>
  </si>
  <si>
    <t>Area code</t>
  </si>
  <si>
    <t>International plan</t>
  </si>
  <si>
    <t>Voice mail plan</t>
  </si>
  <si>
    <t>Number vmail messages</t>
  </si>
  <si>
    <t>Total day minutes</t>
  </si>
  <si>
    <t>Total day calls</t>
  </si>
  <si>
    <t>Total day charge</t>
  </si>
  <si>
    <t>Total eve minutes</t>
  </si>
  <si>
    <t>Total eve calls</t>
  </si>
  <si>
    <t>Total eve charge</t>
  </si>
  <si>
    <t>Total night minutes</t>
  </si>
  <si>
    <t>Total night calls</t>
  </si>
  <si>
    <t>Total night charge</t>
  </si>
  <si>
    <t>Total intl minutes</t>
  </si>
  <si>
    <t>Total intl calls</t>
  </si>
  <si>
    <t>Total intl charge</t>
  </si>
  <si>
    <t>Customer service calls</t>
  </si>
  <si>
    <t>Churn</t>
  </si>
  <si>
    <t>LA</t>
  </si>
  <si>
    <t>No</t>
  </si>
  <si>
    <t>IN</t>
  </si>
  <si>
    <t>NY</t>
  </si>
  <si>
    <t>SC</t>
  </si>
  <si>
    <t>HI</t>
  </si>
  <si>
    <t>AK</t>
  </si>
  <si>
    <t>Yes</t>
  </si>
  <si>
    <t>MI</t>
  </si>
  <si>
    <t>ID</t>
  </si>
  <si>
    <t>VA</t>
  </si>
  <si>
    <t>WI</t>
  </si>
  <si>
    <t>MN</t>
  </si>
  <si>
    <t>VT</t>
  </si>
  <si>
    <t>MT</t>
  </si>
  <si>
    <t>MA</t>
  </si>
  <si>
    <t>KY</t>
  </si>
  <si>
    <t>CO</t>
  </si>
  <si>
    <t>AZ</t>
  </si>
  <si>
    <t>CA</t>
  </si>
  <si>
    <t>WA</t>
  </si>
  <si>
    <t>NE</t>
  </si>
  <si>
    <t>OH</t>
  </si>
  <si>
    <t>MO</t>
  </si>
  <si>
    <t>AL</t>
  </si>
  <si>
    <t>NH</t>
  </si>
  <si>
    <t>NM</t>
  </si>
  <si>
    <t>OR</t>
  </si>
  <si>
    <t>TX</t>
  </si>
  <si>
    <t>MS</t>
  </si>
  <si>
    <t>WY</t>
  </si>
  <si>
    <t>FL</t>
  </si>
  <si>
    <t>KS</t>
  </si>
  <si>
    <t>NC</t>
  </si>
  <si>
    <t>SD</t>
  </si>
  <si>
    <t>OK</t>
  </si>
  <si>
    <t>CT</t>
  </si>
  <si>
    <t>RI</t>
  </si>
  <si>
    <t>DE</t>
  </si>
  <si>
    <t>UT</t>
  </si>
  <si>
    <t>NV</t>
  </si>
  <si>
    <t>DC</t>
  </si>
  <si>
    <t>ME</t>
  </si>
  <si>
    <t>IL</t>
  </si>
  <si>
    <t>NJ</t>
  </si>
  <si>
    <t>MD</t>
  </si>
  <si>
    <t>WV</t>
  </si>
  <si>
    <t>PA</t>
  </si>
  <si>
    <t>ND</t>
  </si>
  <si>
    <t>AR</t>
  </si>
  <si>
    <t>TN</t>
  </si>
  <si>
    <t>IA</t>
  </si>
  <si>
    <t>GA</t>
  </si>
  <si>
    <t>High Usage</t>
  </si>
  <si>
    <t>Risk Customer</t>
  </si>
  <si>
    <t>Potential Churn</t>
  </si>
  <si>
    <t>Support Level</t>
  </si>
  <si>
    <t>Region</t>
  </si>
  <si>
    <t>Total Day Usage</t>
  </si>
  <si>
    <t>Average Day Usage</t>
  </si>
  <si>
    <t>Total Customers</t>
  </si>
  <si>
    <t>Price</t>
  </si>
  <si>
    <t xml:space="preserve">Revenue </t>
  </si>
  <si>
    <t>Scenario</t>
  </si>
  <si>
    <t>Low Price</t>
  </si>
  <si>
    <t>Target Price</t>
  </si>
  <si>
    <t>High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</si>
</sst>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Scenario_Analysis!$A$1</c:f>
              <c:strCache>
                <c:ptCount val="1"/>
                <c:pt idx="0">
                  <c:v>Price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Scenario_Analysis!$A$2:$A$4</c:f>
              <c:numCache>
                <c:formatCode>General</c:formatCode>
                <c:ptCount val="3"/>
                <c:pt idx="0">
                  <c:v>0.4</c:v>
                </c:pt>
                <c:pt idx="1">
                  <c:v>0.57998680944284786</c:v>
                </c:pt>
                <c:pt idx="2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5-403D-977D-89E43F047C21}"/>
            </c:ext>
          </c:extLst>
        </c:ser>
        <c:ser>
          <c:idx val="1"/>
          <c:order val="1"/>
          <c:tx>
            <c:strRef>
              <c:f>Scenario_Analysis!$B$1</c:f>
              <c:strCache>
                <c:ptCount val="1"/>
                <c:pt idx="0">
                  <c:v>Revenue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Scenario_Analysis!$B$2:$B$4</c:f>
              <c:numCache>
                <c:formatCode>General</c:formatCode>
                <c:ptCount val="3"/>
                <c:pt idx="0">
                  <c:v>48276.960000000021</c:v>
                </c:pt>
                <c:pt idx="1">
                  <c:v>70000</c:v>
                </c:pt>
                <c:pt idx="2">
                  <c:v>72415.440000000031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D5-403D-977D-89E43F047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3878687"/>
        <c:axId val="1943873887"/>
      </c:lineChart>
      <c:catAx>
        <c:axId val="1943878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873887"/>
        <c:crosses val="autoZero"/>
        <c:auto val="1"/>
        <c:lblAlgn val="ctr"/>
        <c:lblOffset val="100"/>
        <c:noMultiLvlLbl val="0"/>
      </c:catAx>
      <c:valAx>
        <c:axId val="194387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878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106680</xdr:colOff>
      <xdr:row>6</xdr:row>
      <xdr:rowOff>34290</xdr:rowOff>
    </xdr:from>
    <xdr:to>
      <xdr:col>10</xdr:col>
      <xdr:colOff>411480</xdr:colOff>
      <xdr:row>21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967604-2AF2-4CE7-A56A-7A05AAD90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D0504D-7942-4B61-A129-36FF28A7AAD7}" autoFormatId="16" applyNumberFormats="0" applyBorderFormats="0" applyFontFormats="0" applyPatternFormats="0" applyAlignmentFormats="0" applyWidthHeightFormats="0">
  <queryTableRefresh nextId="21">
    <queryTableFields count="20">
      <queryTableField id="1" name="State" tableColumnId="1"/>
      <queryTableField id="2" name="Account length" tableColumnId="2"/>
      <queryTableField id="3" name="Area code" tableColumnId="3"/>
      <queryTableField id="4" name="International plan" tableColumnId="4"/>
      <queryTableField id="5" name="Voice mail plan" tableColumnId="5"/>
      <queryTableField id="6" name="Number vmail messages" tableColumnId="6"/>
      <queryTableField id="7" name="Total day minutes" tableColumnId="7"/>
      <queryTableField id="8" name="Total day calls" tableColumnId="8"/>
      <queryTableField id="9" name="Total day charge" tableColumnId="9"/>
      <queryTableField id="10" name="Total eve minutes" tableColumnId="10"/>
      <queryTableField id="11" name="Total eve calls" tableColumnId="11"/>
      <queryTableField id="12" name="Total eve charge" tableColumnId="12"/>
      <queryTableField id="13" name="Total night minutes" tableColumnId="13"/>
      <queryTableField id="14" name="Total night calls" tableColumnId="14"/>
      <queryTableField id="15" name="Total night charge" tableColumnId="15"/>
      <queryTableField id="16" name="Total intl minutes" tableColumnId="16"/>
      <queryTableField id="17" name="Total intl calls" tableColumnId="17"/>
      <queryTableField id="18" name="Total intl charge" tableColumnId="18"/>
      <queryTableField id="19" name="Customer service calls" tableColumnId="19"/>
      <queryTableField id="20" name="Churn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821B82-C8C2-4177-BE0E-922FAA37E55F}" name="churn_bigml_20" displayName="churn_bigml_20" ref="A1:T52" tableType="queryTable" totalsRowShown="0">
  <autoFilter ref="A1:T52" xr:uid="{39821B82-C8C2-4177-BE0E-922FAA37E55F}"/>
  <tableColumns count="20">
    <tableColumn id="1" xr3:uid="{50957AB9-2D14-423E-88E3-D339D724DF50}" uniqueName="1" name="State" queryTableFieldId="1" dataDxfId="2"/>
    <tableColumn id="2" xr3:uid="{ABF6DF4F-9649-4A48-9CED-8357739088B3}" uniqueName="2" name="Account length" queryTableFieldId="2"/>
    <tableColumn id="3" xr3:uid="{6FEF3852-7999-4AAA-B15C-9A1EA0349D21}" uniqueName="3" name="Area code" queryTableFieldId="3"/>
    <tableColumn id="4" xr3:uid="{7BC90B52-C5A7-48E0-AC4F-3BAC3392A534}" uniqueName="4" name="International plan" queryTableFieldId="4" dataDxfId="1"/>
    <tableColumn id="5" xr3:uid="{435E0F67-6081-4CD8-8ED8-8C43C0ADC629}" uniqueName="5" name="Voice mail plan" queryTableFieldId="5" dataDxfId="0"/>
    <tableColumn id="6" xr3:uid="{A6CE8E5D-418B-4BC2-A127-1A3BBC469C6C}" uniqueName="6" name="Number vmail messages" queryTableFieldId="6"/>
    <tableColumn id="7" xr3:uid="{698E33E5-557B-494E-A871-84C45552CE39}" uniqueName="7" name="Total day minutes" queryTableFieldId="7"/>
    <tableColumn id="8" xr3:uid="{078D547A-A2AE-4195-811D-CFDA6F5AD3EB}" uniqueName="8" name="Total day calls" queryTableFieldId="8"/>
    <tableColumn id="9" xr3:uid="{FF87152A-C85D-4FA2-ADCA-4CACE9F1D486}" uniqueName="9" name="Total day charge" queryTableFieldId="9"/>
    <tableColumn id="10" xr3:uid="{44B4F5ED-B71B-4697-9EEA-C7E9C2047300}" uniqueName="10" name="Total eve minutes" queryTableFieldId="10"/>
    <tableColumn id="11" xr3:uid="{DFF1AAD3-2E00-4C5C-A1C0-E66629A99E83}" uniqueName="11" name="Total eve calls" queryTableFieldId="11"/>
    <tableColumn id="12" xr3:uid="{232A1ADE-114C-4F85-B25D-D44A7451BE59}" uniqueName="12" name="Total eve charge" queryTableFieldId="12"/>
    <tableColumn id="13" xr3:uid="{4327AC49-84EE-4CBA-8C59-DA52C682B660}" uniqueName="13" name="Total night minutes" queryTableFieldId="13"/>
    <tableColumn id="14" xr3:uid="{AF2B6672-3C7C-41DD-A29A-BD8E9FCD3BB6}" uniqueName="14" name="Total night calls" queryTableFieldId="14"/>
    <tableColumn id="15" xr3:uid="{E2E02457-8401-4BF8-A3D3-34E2BC0158FE}" uniqueName="15" name="Total night charge" queryTableFieldId="15"/>
    <tableColumn id="16" xr3:uid="{1FCA4BCC-42BC-44CB-B76C-E0B09B6FE62E}" uniqueName="16" name="Total intl minutes" queryTableFieldId="16"/>
    <tableColumn id="17" xr3:uid="{03DD43EA-7BC0-429E-8C38-B903C2745DED}" uniqueName="17" name="Total intl calls" queryTableFieldId="17"/>
    <tableColumn id="18" xr3:uid="{AD9037B8-793E-4088-A76E-F7476C964B17}" uniqueName="18" name="Total intl charge" queryTableFieldId="18"/>
    <tableColumn id="19" xr3:uid="{FB4A8D94-6A31-4129-86CF-74E9BEB799C0}" uniqueName="19" name="Customer service calls" queryTableFieldId="19"/>
    <tableColumn id="20" xr3:uid="{FB4A6A94-3CBD-4EE6-BDE4-318239E006EB}" uniqueName="20" name="Churn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FCED0-2DEB-49CA-AF51-7F9BC5DC4353}">
  <dimension ref="A1:T52"/>
  <sheetViews>
    <sheetView workbookViewId="0">
      <selection activeCell="B1" sqref="B1"/>
    </sheetView>
  </sheetViews>
  <sheetFormatPr defaultRowHeight="14.45"/>
  <cols>
    <col min="1" max="1" width="7.5703125" bestFit="1" customWidth="1"/>
    <col min="2" max="2" width="16.140625" bestFit="1" customWidth="1"/>
    <col min="3" max="3" width="11.7109375" bestFit="1" customWidth="1"/>
    <col min="4" max="4" width="18.28515625" bestFit="1" customWidth="1"/>
    <col min="5" max="5" width="16.140625" bestFit="1" customWidth="1"/>
    <col min="6" max="6" width="23.85546875" bestFit="1" customWidth="1"/>
    <col min="7" max="7" width="18.28515625" bestFit="1" customWidth="1"/>
    <col min="8" max="8" width="15" bestFit="1" customWidth="1"/>
    <col min="9" max="9" width="17.28515625" bestFit="1" customWidth="1"/>
    <col min="10" max="10" width="18.28515625" bestFit="1" customWidth="1"/>
    <col min="11" max="11" width="14.85546875" bestFit="1" customWidth="1"/>
    <col min="12" max="12" width="17.140625" bestFit="1" customWidth="1"/>
    <col min="13" max="13" width="19.7109375" bestFit="1" customWidth="1"/>
    <col min="14" max="14" width="16.28515625" bestFit="1" customWidth="1"/>
    <col min="15" max="15" width="18.42578125" bestFit="1" customWidth="1"/>
    <col min="16" max="16" width="17.85546875" bestFit="1" customWidth="1"/>
    <col min="17" max="17" width="14.5703125" bestFit="1" customWidth="1"/>
    <col min="18" max="18" width="16.7109375" bestFit="1" customWidth="1"/>
    <col min="19" max="19" width="21.7109375" bestFit="1" customWidth="1"/>
    <col min="20" max="20" width="8.2851562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117</v>
      </c>
      <c r="C2">
        <v>408</v>
      </c>
      <c r="D2" t="s">
        <v>21</v>
      </c>
      <c r="E2" t="s">
        <v>21</v>
      </c>
      <c r="F2">
        <v>0</v>
      </c>
      <c r="G2">
        <v>184.5</v>
      </c>
      <c r="H2">
        <v>97</v>
      </c>
      <c r="I2">
        <v>31.37</v>
      </c>
      <c r="J2">
        <v>351.6</v>
      </c>
      <c r="K2">
        <v>80</v>
      </c>
      <c r="L2">
        <v>29.89</v>
      </c>
      <c r="M2">
        <v>215.8</v>
      </c>
      <c r="N2">
        <v>90</v>
      </c>
      <c r="O2">
        <v>9.7100000000000009</v>
      </c>
      <c r="P2">
        <v>8.6999999999999993</v>
      </c>
      <c r="Q2">
        <v>4</v>
      </c>
      <c r="R2">
        <v>2.35</v>
      </c>
      <c r="S2">
        <v>1</v>
      </c>
      <c r="T2" t="b">
        <v>0</v>
      </c>
    </row>
    <row r="3" spans="1:20">
      <c r="A3" t="s">
        <v>22</v>
      </c>
      <c r="B3">
        <v>65</v>
      </c>
      <c r="C3">
        <v>415</v>
      </c>
      <c r="D3" t="s">
        <v>21</v>
      </c>
      <c r="E3" t="s">
        <v>21</v>
      </c>
      <c r="F3">
        <v>0</v>
      </c>
      <c r="G3">
        <v>129.1</v>
      </c>
      <c r="H3">
        <v>137</v>
      </c>
      <c r="I3">
        <v>21.95</v>
      </c>
      <c r="J3">
        <v>228.5</v>
      </c>
      <c r="K3">
        <v>83</v>
      </c>
      <c r="L3">
        <v>19.420000000000002</v>
      </c>
      <c r="M3">
        <v>208.8</v>
      </c>
      <c r="N3">
        <v>111</v>
      </c>
      <c r="O3">
        <v>9.4</v>
      </c>
      <c r="P3">
        <v>12.7</v>
      </c>
      <c r="Q3">
        <v>6</v>
      </c>
      <c r="R3">
        <v>3.43</v>
      </c>
      <c r="S3">
        <v>4</v>
      </c>
      <c r="T3" t="b">
        <v>1</v>
      </c>
    </row>
    <row r="4" spans="1:20">
      <c r="A4" t="s">
        <v>23</v>
      </c>
      <c r="B4">
        <v>161</v>
      </c>
      <c r="C4">
        <v>415</v>
      </c>
      <c r="D4" t="s">
        <v>21</v>
      </c>
      <c r="E4" t="s">
        <v>21</v>
      </c>
      <c r="F4">
        <v>0</v>
      </c>
      <c r="G4">
        <v>332.9</v>
      </c>
      <c r="H4">
        <v>67</v>
      </c>
      <c r="I4">
        <v>56.59</v>
      </c>
      <c r="J4">
        <v>317.8</v>
      </c>
      <c r="K4">
        <v>97</v>
      </c>
      <c r="L4">
        <v>27.01</v>
      </c>
      <c r="M4">
        <v>160.6</v>
      </c>
      <c r="N4">
        <v>128</v>
      </c>
      <c r="O4">
        <v>7.23</v>
      </c>
      <c r="P4">
        <v>5.4</v>
      </c>
      <c r="Q4">
        <v>9</v>
      </c>
      <c r="R4">
        <v>1.46</v>
      </c>
      <c r="S4">
        <v>4</v>
      </c>
      <c r="T4" t="b">
        <v>1</v>
      </c>
    </row>
    <row r="5" spans="1:20">
      <c r="A5" t="s">
        <v>24</v>
      </c>
      <c r="B5">
        <v>111</v>
      </c>
      <c r="C5">
        <v>415</v>
      </c>
      <c r="D5" t="s">
        <v>21</v>
      </c>
      <c r="E5" t="s">
        <v>21</v>
      </c>
      <c r="F5">
        <v>0</v>
      </c>
      <c r="G5">
        <v>110.4</v>
      </c>
      <c r="H5">
        <v>103</v>
      </c>
      <c r="I5">
        <v>18.77</v>
      </c>
      <c r="J5">
        <v>137.30000000000001</v>
      </c>
      <c r="K5">
        <v>102</v>
      </c>
      <c r="L5">
        <v>11.67</v>
      </c>
      <c r="M5">
        <v>189.6</v>
      </c>
      <c r="N5">
        <v>105</v>
      </c>
      <c r="O5">
        <v>8.5299999999999994</v>
      </c>
      <c r="P5">
        <v>7.7</v>
      </c>
      <c r="Q5">
        <v>6</v>
      </c>
      <c r="R5">
        <v>2.08</v>
      </c>
      <c r="S5">
        <v>2</v>
      </c>
      <c r="T5" t="b">
        <v>0</v>
      </c>
    </row>
    <row r="6" spans="1:20">
      <c r="A6" t="s">
        <v>25</v>
      </c>
      <c r="B6">
        <v>49</v>
      </c>
      <c r="C6">
        <v>510</v>
      </c>
      <c r="D6" t="s">
        <v>21</v>
      </c>
      <c r="E6" t="s">
        <v>21</v>
      </c>
      <c r="F6">
        <v>0</v>
      </c>
      <c r="G6">
        <v>119.3</v>
      </c>
      <c r="H6">
        <v>117</v>
      </c>
      <c r="I6">
        <v>20.28</v>
      </c>
      <c r="J6">
        <v>215.1</v>
      </c>
      <c r="K6">
        <v>109</v>
      </c>
      <c r="L6">
        <v>18.28</v>
      </c>
      <c r="M6">
        <v>178.7</v>
      </c>
      <c r="N6">
        <v>90</v>
      </c>
      <c r="O6">
        <v>8.0399999999999991</v>
      </c>
      <c r="P6">
        <v>11.1</v>
      </c>
      <c r="Q6">
        <v>1</v>
      </c>
      <c r="R6">
        <v>3</v>
      </c>
      <c r="S6">
        <v>1</v>
      </c>
      <c r="T6" t="b">
        <v>0</v>
      </c>
    </row>
    <row r="7" spans="1:20">
      <c r="A7" t="s">
        <v>26</v>
      </c>
      <c r="B7">
        <v>36</v>
      </c>
      <c r="C7">
        <v>408</v>
      </c>
      <c r="D7" t="s">
        <v>21</v>
      </c>
      <c r="E7" t="s">
        <v>27</v>
      </c>
      <c r="F7">
        <v>30</v>
      </c>
      <c r="G7">
        <v>146.30000000000001</v>
      </c>
      <c r="H7">
        <v>128</v>
      </c>
      <c r="I7">
        <v>24.87</v>
      </c>
      <c r="J7">
        <v>162.5</v>
      </c>
      <c r="K7">
        <v>80</v>
      </c>
      <c r="L7">
        <v>13.81</v>
      </c>
      <c r="M7">
        <v>129.30000000000001</v>
      </c>
      <c r="N7">
        <v>109</v>
      </c>
      <c r="O7">
        <v>5.82</v>
      </c>
      <c r="P7">
        <v>14.5</v>
      </c>
      <c r="Q7">
        <v>6</v>
      </c>
      <c r="R7">
        <v>3.92</v>
      </c>
      <c r="S7">
        <v>0</v>
      </c>
      <c r="T7" t="b">
        <v>0</v>
      </c>
    </row>
    <row r="8" spans="1:20">
      <c r="A8" t="s">
        <v>28</v>
      </c>
      <c r="B8">
        <v>65</v>
      </c>
      <c r="C8">
        <v>415</v>
      </c>
      <c r="D8" t="s">
        <v>21</v>
      </c>
      <c r="E8" t="s">
        <v>21</v>
      </c>
      <c r="F8">
        <v>0</v>
      </c>
      <c r="G8">
        <v>211.3</v>
      </c>
      <c r="H8">
        <v>120</v>
      </c>
      <c r="I8">
        <v>35.92</v>
      </c>
      <c r="J8">
        <v>162.6</v>
      </c>
      <c r="K8">
        <v>122</v>
      </c>
      <c r="L8">
        <v>13.82</v>
      </c>
      <c r="M8">
        <v>134.69999999999999</v>
      </c>
      <c r="N8">
        <v>118</v>
      </c>
      <c r="O8">
        <v>6.06</v>
      </c>
      <c r="P8">
        <v>13.2</v>
      </c>
      <c r="Q8">
        <v>5</v>
      </c>
      <c r="R8">
        <v>3.56</v>
      </c>
      <c r="S8">
        <v>3</v>
      </c>
      <c r="T8" t="b">
        <v>0</v>
      </c>
    </row>
    <row r="9" spans="1:20">
      <c r="A9" t="s">
        <v>29</v>
      </c>
      <c r="B9">
        <v>119</v>
      </c>
      <c r="C9">
        <v>415</v>
      </c>
      <c r="D9" t="s">
        <v>21</v>
      </c>
      <c r="E9" t="s">
        <v>21</v>
      </c>
      <c r="F9">
        <v>0</v>
      </c>
      <c r="G9">
        <v>159.1</v>
      </c>
      <c r="H9">
        <v>114</v>
      </c>
      <c r="I9">
        <v>27.05</v>
      </c>
      <c r="J9">
        <v>231.3</v>
      </c>
      <c r="K9">
        <v>117</v>
      </c>
      <c r="L9">
        <v>19.66</v>
      </c>
      <c r="M9">
        <v>143.19999999999999</v>
      </c>
      <c r="N9">
        <v>91</v>
      </c>
      <c r="O9">
        <v>6.44</v>
      </c>
      <c r="P9">
        <v>8.8000000000000007</v>
      </c>
      <c r="Q9">
        <v>3</v>
      </c>
      <c r="R9">
        <v>2.38</v>
      </c>
      <c r="S9">
        <v>5</v>
      </c>
      <c r="T9" t="b">
        <v>1</v>
      </c>
    </row>
    <row r="10" spans="1:20">
      <c r="A10" t="s">
        <v>30</v>
      </c>
      <c r="B10">
        <v>10</v>
      </c>
      <c r="C10">
        <v>408</v>
      </c>
      <c r="D10" t="s">
        <v>21</v>
      </c>
      <c r="E10" t="s">
        <v>21</v>
      </c>
      <c r="F10">
        <v>0</v>
      </c>
      <c r="G10">
        <v>186.1</v>
      </c>
      <c r="H10">
        <v>112</v>
      </c>
      <c r="I10">
        <v>31.64</v>
      </c>
      <c r="J10">
        <v>190.2</v>
      </c>
      <c r="K10">
        <v>66</v>
      </c>
      <c r="L10">
        <v>16.170000000000002</v>
      </c>
      <c r="M10">
        <v>282.8</v>
      </c>
      <c r="N10">
        <v>57</v>
      </c>
      <c r="O10">
        <v>12.73</v>
      </c>
      <c r="P10">
        <v>11.4</v>
      </c>
      <c r="Q10">
        <v>6</v>
      </c>
      <c r="R10">
        <v>3.08</v>
      </c>
      <c r="S10">
        <v>2</v>
      </c>
      <c r="T10" t="b">
        <v>0</v>
      </c>
    </row>
    <row r="11" spans="1:20">
      <c r="A11" t="s">
        <v>31</v>
      </c>
      <c r="B11">
        <v>68</v>
      </c>
      <c r="C11">
        <v>415</v>
      </c>
      <c r="D11" t="s">
        <v>21</v>
      </c>
      <c r="E11" t="s">
        <v>21</v>
      </c>
      <c r="F11">
        <v>0</v>
      </c>
      <c r="G11">
        <v>148.80000000000001</v>
      </c>
      <c r="H11">
        <v>70</v>
      </c>
      <c r="I11">
        <v>25.3</v>
      </c>
      <c r="J11">
        <v>246.5</v>
      </c>
      <c r="K11">
        <v>164</v>
      </c>
      <c r="L11">
        <v>20.95</v>
      </c>
      <c r="M11">
        <v>129.80000000000001</v>
      </c>
      <c r="N11">
        <v>103</v>
      </c>
      <c r="O11">
        <v>5.84</v>
      </c>
      <c r="P11">
        <v>12.1</v>
      </c>
      <c r="Q11">
        <v>3</v>
      </c>
      <c r="R11">
        <v>3.27</v>
      </c>
      <c r="S11">
        <v>3</v>
      </c>
      <c r="T11" t="b">
        <v>0</v>
      </c>
    </row>
    <row r="12" spans="1:20">
      <c r="A12" t="s">
        <v>32</v>
      </c>
      <c r="B12">
        <v>74</v>
      </c>
      <c r="C12">
        <v>510</v>
      </c>
      <c r="D12" t="s">
        <v>21</v>
      </c>
      <c r="E12" t="s">
        <v>27</v>
      </c>
      <c r="F12">
        <v>33</v>
      </c>
      <c r="G12">
        <v>193.7</v>
      </c>
      <c r="H12">
        <v>91</v>
      </c>
      <c r="I12">
        <v>32.93</v>
      </c>
      <c r="J12">
        <v>246.1</v>
      </c>
      <c r="K12">
        <v>96</v>
      </c>
      <c r="L12">
        <v>20.92</v>
      </c>
      <c r="M12">
        <v>138</v>
      </c>
      <c r="N12">
        <v>92</v>
      </c>
      <c r="O12">
        <v>6.21</v>
      </c>
      <c r="P12">
        <v>14.6</v>
      </c>
      <c r="Q12">
        <v>3</v>
      </c>
      <c r="R12">
        <v>3.94</v>
      </c>
      <c r="S12">
        <v>2</v>
      </c>
      <c r="T12" t="b">
        <v>0</v>
      </c>
    </row>
    <row r="13" spans="1:20">
      <c r="A13" t="s">
        <v>33</v>
      </c>
      <c r="B13">
        <v>128</v>
      </c>
      <c r="C13">
        <v>510</v>
      </c>
      <c r="D13" t="s">
        <v>21</v>
      </c>
      <c r="E13" t="s">
        <v>27</v>
      </c>
      <c r="F13">
        <v>29</v>
      </c>
      <c r="G13">
        <v>179.3</v>
      </c>
      <c r="H13">
        <v>104</v>
      </c>
      <c r="I13">
        <v>30.48</v>
      </c>
      <c r="J13">
        <v>225.9</v>
      </c>
      <c r="K13">
        <v>86</v>
      </c>
      <c r="L13">
        <v>19.2</v>
      </c>
      <c r="M13">
        <v>323</v>
      </c>
      <c r="N13">
        <v>78</v>
      </c>
      <c r="O13">
        <v>14.54</v>
      </c>
      <c r="P13">
        <v>8.6</v>
      </c>
      <c r="Q13">
        <v>7</v>
      </c>
      <c r="R13">
        <v>2.3199999999999998</v>
      </c>
      <c r="S13">
        <v>0</v>
      </c>
      <c r="T13" t="b">
        <v>0</v>
      </c>
    </row>
    <row r="14" spans="1:20">
      <c r="A14" t="s">
        <v>34</v>
      </c>
      <c r="B14">
        <v>73</v>
      </c>
      <c r="C14">
        <v>415</v>
      </c>
      <c r="D14" t="s">
        <v>21</v>
      </c>
      <c r="E14" t="s">
        <v>21</v>
      </c>
      <c r="F14">
        <v>0</v>
      </c>
      <c r="G14">
        <v>160.1</v>
      </c>
      <c r="H14">
        <v>110</v>
      </c>
      <c r="I14">
        <v>27.22</v>
      </c>
      <c r="J14">
        <v>213.3</v>
      </c>
      <c r="K14">
        <v>72</v>
      </c>
      <c r="L14">
        <v>18.13</v>
      </c>
      <c r="M14">
        <v>174.1</v>
      </c>
      <c r="N14">
        <v>72</v>
      </c>
      <c r="O14">
        <v>7.83</v>
      </c>
      <c r="P14">
        <v>13</v>
      </c>
      <c r="Q14">
        <v>4</v>
      </c>
      <c r="R14">
        <v>3.51</v>
      </c>
      <c r="S14">
        <v>0</v>
      </c>
      <c r="T14" t="b">
        <v>0</v>
      </c>
    </row>
    <row r="15" spans="1:20">
      <c r="A15" t="s">
        <v>35</v>
      </c>
      <c r="B15">
        <v>108</v>
      </c>
      <c r="C15">
        <v>415</v>
      </c>
      <c r="D15" t="s">
        <v>21</v>
      </c>
      <c r="E15" t="s">
        <v>21</v>
      </c>
      <c r="F15">
        <v>0</v>
      </c>
      <c r="G15">
        <v>178.3</v>
      </c>
      <c r="H15">
        <v>137</v>
      </c>
      <c r="I15">
        <v>30.31</v>
      </c>
      <c r="J15">
        <v>189</v>
      </c>
      <c r="K15">
        <v>76</v>
      </c>
      <c r="L15">
        <v>16.07</v>
      </c>
      <c r="M15">
        <v>129.1</v>
      </c>
      <c r="N15">
        <v>102</v>
      </c>
      <c r="O15">
        <v>5.81</v>
      </c>
      <c r="P15">
        <v>14.6</v>
      </c>
      <c r="Q15">
        <v>5</v>
      </c>
      <c r="R15">
        <v>3.94</v>
      </c>
      <c r="S15">
        <v>0</v>
      </c>
      <c r="T15" t="b">
        <v>0</v>
      </c>
    </row>
    <row r="16" spans="1:20">
      <c r="A16" t="s">
        <v>36</v>
      </c>
      <c r="B16">
        <v>95</v>
      </c>
      <c r="C16">
        <v>408</v>
      </c>
      <c r="D16" t="s">
        <v>21</v>
      </c>
      <c r="E16" t="s">
        <v>21</v>
      </c>
      <c r="F16">
        <v>0</v>
      </c>
      <c r="G16">
        <v>135</v>
      </c>
      <c r="H16">
        <v>99</v>
      </c>
      <c r="I16">
        <v>22.95</v>
      </c>
      <c r="J16">
        <v>183.6</v>
      </c>
      <c r="K16">
        <v>106</v>
      </c>
      <c r="L16">
        <v>15.61</v>
      </c>
      <c r="M16">
        <v>245.3</v>
      </c>
      <c r="N16">
        <v>102</v>
      </c>
      <c r="O16">
        <v>11.04</v>
      </c>
      <c r="P16">
        <v>12.5</v>
      </c>
      <c r="Q16">
        <v>9</v>
      </c>
      <c r="R16">
        <v>3.38</v>
      </c>
      <c r="S16">
        <v>1</v>
      </c>
      <c r="T16" t="b">
        <v>0</v>
      </c>
    </row>
    <row r="17" spans="1:20">
      <c r="A17" t="s">
        <v>37</v>
      </c>
      <c r="B17">
        <v>141</v>
      </c>
      <c r="C17">
        <v>415</v>
      </c>
      <c r="D17" t="s">
        <v>21</v>
      </c>
      <c r="E17" t="s">
        <v>27</v>
      </c>
      <c r="F17">
        <v>32</v>
      </c>
      <c r="G17">
        <v>148.6</v>
      </c>
      <c r="H17">
        <v>91</v>
      </c>
      <c r="I17">
        <v>25.26</v>
      </c>
      <c r="J17">
        <v>131.1</v>
      </c>
      <c r="K17">
        <v>97</v>
      </c>
      <c r="L17">
        <v>11.14</v>
      </c>
      <c r="M17">
        <v>219.4</v>
      </c>
      <c r="N17">
        <v>142</v>
      </c>
      <c r="O17">
        <v>9.8699999999999992</v>
      </c>
      <c r="P17">
        <v>10.1</v>
      </c>
      <c r="Q17">
        <v>1</v>
      </c>
      <c r="R17">
        <v>2.73</v>
      </c>
      <c r="S17">
        <v>1</v>
      </c>
      <c r="T17" t="b">
        <v>0</v>
      </c>
    </row>
    <row r="18" spans="1:20">
      <c r="A18" t="s">
        <v>38</v>
      </c>
      <c r="B18">
        <v>63</v>
      </c>
      <c r="C18">
        <v>415</v>
      </c>
      <c r="D18" t="s">
        <v>21</v>
      </c>
      <c r="E18" t="s">
        <v>21</v>
      </c>
      <c r="F18">
        <v>0</v>
      </c>
      <c r="G18">
        <v>58.9</v>
      </c>
      <c r="H18">
        <v>125</v>
      </c>
      <c r="I18">
        <v>10.01</v>
      </c>
      <c r="J18">
        <v>169.6</v>
      </c>
      <c r="K18">
        <v>59</v>
      </c>
      <c r="L18">
        <v>14.42</v>
      </c>
      <c r="M18">
        <v>211.4</v>
      </c>
      <c r="N18">
        <v>88</v>
      </c>
      <c r="O18">
        <v>9.51</v>
      </c>
      <c r="P18">
        <v>9.4</v>
      </c>
      <c r="Q18">
        <v>3</v>
      </c>
      <c r="R18">
        <v>2.54</v>
      </c>
      <c r="S18">
        <v>1</v>
      </c>
      <c r="T18" t="b">
        <v>0</v>
      </c>
    </row>
    <row r="19" spans="1:20">
      <c r="A19" t="s">
        <v>39</v>
      </c>
      <c r="B19">
        <v>75</v>
      </c>
      <c r="C19">
        <v>408</v>
      </c>
      <c r="D19" t="s">
        <v>21</v>
      </c>
      <c r="E19" t="s">
        <v>21</v>
      </c>
      <c r="F19">
        <v>0</v>
      </c>
      <c r="G19">
        <v>166.3</v>
      </c>
      <c r="H19">
        <v>125</v>
      </c>
      <c r="I19">
        <v>28.27</v>
      </c>
      <c r="J19">
        <v>158.19999999999999</v>
      </c>
      <c r="K19">
        <v>86</v>
      </c>
      <c r="L19">
        <v>13.45</v>
      </c>
      <c r="M19">
        <v>256.7</v>
      </c>
      <c r="N19">
        <v>80</v>
      </c>
      <c r="O19">
        <v>11.55</v>
      </c>
      <c r="P19">
        <v>6.1</v>
      </c>
      <c r="Q19">
        <v>5</v>
      </c>
      <c r="R19">
        <v>1.65</v>
      </c>
      <c r="S19">
        <v>1</v>
      </c>
      <c r="T19" t="b">
        <v>0</v>
      </c>
    </row>
    <row r="20" spans="1:20">
      <c r="A20" t="s">
        <v>40</v>
      </c>
      <c r="B20">
        <v>127</v>
      </c>
      <c r="C20">
        <v>408</v>
      </c>
      <c r="D20" t="s">
        <v>21</v>
      </c>
      <c r="E20" t="s">
        <v>21</v>
      </c>
      <c r="F20">
        <v>0</v>
      </c>
      <c r="G20">
        <v>146.69999999999999</v>
      </c>
      <c r="H20">
        <v>91</v>
      </c>
      <c r="I20">
        <v>24.94</v>
      </c>
      <c r="J20">
        <v>203.5</v>
      </c>
      <c r="K20">
        <v>78</v>
      </c>
      <c r="L20">
        <v>17.3</v>
      </c>
      <c r="M20">
        <v>203.4</v>
      </c>
      <c r="N20">
        <v>110</v>
      </c>
      <c r="O20">
        <v>9.15</v>
      </c>
      <c r="P20">
        <v>13.7</v>
      </c>
      <c r="Q20">
        <v>3</v>
      </c>
      <c r="R20">
        <v>3.7</v>
      </c>
      <c r="S20">
        <v>1</v>
      </c>
      <c r="T20" t="b">
        <v>0</v>
      </c>
    </row>
    <row r="21" spans="1:20">
      <c r="A21" t="s">
        <v>41</v>
      </c>
      <c r="B21">
        <v>117</v>
      </c>
      <c r="C21">
        <v>415</v>
      </c>
      <c r="D21" t="s">
        <v>21</v>
      </c>
      <c r="E21" t="s">
        <v>21</v>
      </c>
      <c r="F21">
        <v>0</v>
      </c>
      <c r="G21">
        <v>102.8</v>
      </c>
      <c r="H21">
        <v>119</v>
      </c>
      <c r="I21">
        <v>17.48</v>
      </c>
      <c r="J21">
        <v>206.7</v>
      </c>
      <c r="K21">
        <v>91</v>
      </c>
      <c r="L21">
        <v>17.57</v>
      </c>
      <c r="M21">
        <v>299</v>
      </c>
      <c r="N21">
        <v>105</v>
      </c>
      <c r="O21">
        <v>13.46</v>
      </c>
      <c r="P21">
        <v>10.1</v>
      </c>
      <c r="Q21">
        <v>7</v>
      </c>
      <c r="R21">
        <v>2.73</v>
      </c>
      <c r="S21">
        <v>1</v>
      </c>
      <c r="T21" t="b">
        <v>0</v>
      </c>
    </row>
    <row r="22" spans="1:20">
      <c r="A22" t="s">
        <v>42</v>
      </c>
      <c r="B22">
        <v>65</v>
      </c>
      <c r="C22">
        <v>408</v>
      </c>
      <c r="D22" t="s">
        <v>21</v>
      </c>
      <c r="E22" t="s">
        <v>21</v>
      </c>
      <c r="F22">
        <v>0</v>
      </c>
      <c r="G22">
        <v>187.9</v>
      </c>
      <c r="H22">
        <v>116</v>
      </c>
      <c r="I22">
        <v>31.94</v>
      </c>
      <c r="J22">
        <v>157.6</v>
      </c>
      <c r="K22">
        <v>117</v>
      </c>
      <c r="L22">
        <v>13.4</v>
      </c>
      <c r="M22">
        <v>227.3</v>
      </c>
      <c r="N22">
        <v>86</v>
      </c>
      <c r="O22">
        <v>10.23</v>
      </c>
      <c r="P22">
        <v>7.5</v>
      </c>
      <c r="Q22">
        <v>6</v>
      </c>
      <c r="R22">
        <v>2.0299999999999998</v>
      </c>
      <c r="S22">
        <v>1</v>
      </c>
      <c r="T22" t="b">
        <v>0</v>
      </c>
    </row>
    <row r="23" spans="1:20">
      <c r="A23" t="s">
        <v>43</v>
      </c>
      <c r="B23">
        <v>6</v>
      </c>
      <c r="C23">
        <v>510</v>
      </c>
      <c r="D23" t="s">
        <v>21</v>
      </c>
      <c r="E23" t="s">
        <v>21</v>
      </c>
      <c r="F23">
        <v>0</v>
      </c>
      <c r="G23">
        <v>183.6</v>
      </c>
      <c r="H23">
        <v>117</v>
      </c>
      <c r="I23">
        <v>31.21</v>
      </c>
      <c r="J23">
        <v>256.7</v>
      </c>
      <c r="K23">
        <v>72</v>
      </c>
      <c r="L23">
        <v>21.82</v>
      </c>
      <c r="M23">
        <v>178.6</v>
      </c>
      <c r="N23">
        <v>79</v>
      </c>
      <c r="O23">
        <v>8.0399999999999991</v>
      </c>
      <c r="P23">
        <v>10.199999999999999</v>
      </c>
      <c r="Q23">
        <v>2</v>
      </c>
      <c r="R23">
        <v>2.75</v>
      </c>
      <c r="S23">
        <v>1</v>
      </c>
      <c r="T23" t="b">
        <v>0</v>
      </c>
    </row>
    <row r="24" spans="1:20">
      <c r="A24" t="s">
        <v>44</v>
      </c>
      <c r="B24">
        <v>32</v>
      </c>
      <c r="C24">
        <v>510</v>
      </c>
      <c r="D24" t="s">
        <v>21</v>
      </c>
      <c r="E24" t="s">
        <v>21</v>
      </c>
      <c r="F24">
        <v>0</v>
      </c>
      <c r="G24">
        <v>230.9</v>
      </c>
      <c r="H24">
        <v>87</v>
      </c>
      <c r="I24">
        <v>39.25</v>
      </c>
      <c r="J24">
        <v>187.4</v>
      </c>
      <c r="K24">
        <v>90</v>
      </c>
      <c r="L24">
        <v>15.93</v>
      </c>
      <c r="M24">
        <v>154</v>
      </c>
      <c r="N24">
        <v>53</v>
      </c>
      <c r="O24">
        <v>6.93</v>
      </c>
      <c r="P24">
        <v>6.3</v>
      </c>
      <c r="Q24">
        <v>2</v>
      </c>
      <c r="R24">
        <v>1.7</v>
      </c>
      <c r="S24">
        <v>0</v>
      </c>
      <c r="T24" t="b">
        <v>0</v>
      </c>
    </row>
    <row r="25" spans="1:20">
      <c r="A25" t="s">
        <v>45</v>
      </c>
      <c r="B25">
        <v>64</v>
      </c>
      <c r="C25">
        <v>408</v>
      </c>
      <c r="D25" t="s">
        <v>21</v>
      </c>
      <c r="E25" t="s">
        <v>27</v>
      </c>
      <c r="F25">
        <v>27</v>
      </c>
      <c r="G25">
        <v>182.1</v>
      </c>
      <c r="H25">
        <v>91</v>
      </c>
      <c r="I25">
        <v>30.96</v>
      </c>
      <c r="J25">
        <v>169.7</v>
      </c>
      <c r="K25">
        <v>98</v>
      </c>
      <c r="L25">
        <v>14.42</v>
      </c>
      <c r="M25">
        <v>164.7</v>
      </c>
      <c r="N25">
        <v>86</v>
      </c>
      <c r="O25">
        <v>7.41</v>
      </c>
      <c r="P25">
        <v>10.6</v>
      </c>
      <c r="Q25">
        <v>5</v>
      </c>
      <c r="R25">
        <v>2.86</v>
      </c>
      <c r="S25">
        <v>2</v>
      </c>
      <c r="T25" t="b">
        <v>0</v>
      </c>
    </row>
    <row r="26" spans="1:20">
      <c r="A26" t="s">
        <v>46</v>
      </c>
      <c r="B26">
        <v>25</v>
      </c>
      <c r="C26">
        <v>415</v>
      </c>
      <c r="D26" t="s">
        <v>21</v>
      </c>
      <c r="E26" t="s">
        <v>21</v>
      </c>
      <c r="F26">
        <v>0</v>
      </c>
      <c r="G26">
        <v>119.3</v>
      </c>
      <c r="H26">
        <v>87</v>
      </c>
      <c r="I26">
        <v>20.28</v>
      </c>
      <c r="J26">
        <v>211.5</v>
      </c>
      <c r="K26">
        <v>101</v>
      </c>
      <c r="L26">
        <v>17.98</v>
      </c>
      <c r="M26">
        <v>268.89999999999998</v>
      </c>
      <c r="N26">
        <v>86</v>
      </c>
      <c r="O26">
        <v>12.1</v>
      </c>
      <c r="P26">
        <v>10.5</v>
      </c>
      <c r="Q26">
        <v>4</v>
      </c>
      <c r="R26">
        <v>2.84</v>
      </c>
      <c r="S26">
        <v>3</v>
      </c>
      <c r="T26" t="b">
        <v>0</v>
      </c>
    </row>
    <row r="27" spans="1:20">
      <c r="A27" t="s">
        <v>47</v>
      </c>
      <c r="B27">
        <v>65</v>
      </c>
      <c r="C27">
        <v>415</v>
      </c>
      <c r="D27" t="s">
        <v>21</v>
      </c>
      <c r="E27" t="s">
        <v>21</v>
      </c>
      <c r="F27">
        <v>0</v>
      </c>
      <c r="G27">
        <v>116.8</v>
      </c>
      <c r="H27">
        <v>87</v>
      </c>
      <c r="I27">
        <v>19.86</v>
      </c>
      <c r="J27">
        <v>178.9</v>
      </c>
      <c r="K27">
        <v>93</v>
      </c>
      <c r="L27">
        <v>15.21</v>
      </c>
      <c r="M27">
        <v>182.4</v>
      </c>
      <c r="N27">
        <v>150</v>
      </c>
      <c r="O27">
        <v>8.2100000000000009</v>
      </c>
      <c r="P27">
        <v>14.1</v>
      </c>
      <c r="Q27">
        <v>2</v>
      </c>
      <c r="R27">
        <v>3.81</v>
      </c>
      <c r="S27">
        <v>1</v>
      </c>
      <c r="T27" t="b">
        <v>0</v>
      </c>
    </row>
    <row r="28" spans="1:20">
      <c r="A28" t="s">
        <v>48</v>
      </c>
      <c r="B28">
        <v>208</v>
      </c>
      <c r="C28">
        <v>510</v>
      </c>
      <c r="D28" t="s">
        <v>21</v>
      </c>
      <c r="E28" t="s">
        <v>21</v>
      </c>
      <c r="F28">
        <v>0</v>
      </c>
      <c r="G28">
        <v>326.5</v>
      </c>
      <c r="H28">
        <v>67</v>
      </c>
      <c r="I28">
        <v>55.51</v>
      </c>
      <c r="J28">
        <v>176.3</v>
      </c>
      <c r="K28">
        <v>113</v>
      </c>
      <c r="L28">
        <v>14.99</v>
      </c>
      <c r="M28">
        <v>181.7</v>
      </c>
      <c r="N28">
        <v>102</v>
      </c>
      <c r="O28">
        <v>8.18</v>
      </c>
      <c r="P28">
        <v>10.7</v>
      </c>
      <c r="Q28">
        <v>6</v>
      </c>
      <c r="R28">
        <v>2.89</v>
      </c>
      <c r="S28">
        <v>2</v>
      </c>
      <c r="T28" t="b">
        <v>1</v>
      </c>
    </row>
    <row r="29" spans="1:20">
      <c r="A29" t="s">
        <v>49</v>
      </c>
      <c r="B29">
        <v>65</v>
      </c>
      <c r="C29">
        <v>415</v>
      </c>
      <c r="D29" t="s">
        <v>21</v>
      </c>
      <c r="E29" t="s">
        <v>21</v>
      </c>
      <c r="F29">
        <v>0</v>
      </c>
      <c r="G29">
        <v>136.1</v>
      </c>
      <c r="H29">
        <v>112</v>
      </c>
      <c r="I29">
        <v>23.14</v>
      </c>
      <c r="J29">
        <v>272.89999999999998</v>
      </c>
      <c r="K29">
        <v>96</v>
      </c>
      <c r="L29">
        <v>23.2</v>
      </c>
      <c r="M29">
        <v>220.2</v>
      </c>
      <c r="N29">
        <v>104</v>
      </c>
      <c r="O29">
        <v>9.91</v>
      </c>
      <c r="P29">
        <v>4.4000000000000004</v>
      </c>
      <c r="Q29">
        <v>2</v>
      </c>
      <c r="R29">
        <v>1.19</v>
      </c>
      <c r="S29">
        <v>1</v>
      </c>
      <c r="T29" t="b">
        <v>0</v>
      </c>
    </row>
    <row r="30" spans="1:20">
      <c r="A30" t="s">
        <v>50</v>
      </c>
      <c r="B30">
        <v>215</v>
      </c>
      <c r="C30">
        <v>510</v>
      </c>
      <c r="D30" t="s">
        <v>21</v>
      </c>
      <c r="E30" t="s">
        <v>21</v>
      </c>
      <c r="F30">
        <v>0</v>
      </c>
      <c r="G30">
        <v>83.6</v>
      </c>
      <c r="H30">
        <v>148</v>
      </c>
      <c r="I30">
        <v>14.21</v>
      </c>
      <c r="J30">
        <v>120.9</v>
      </c>
      <c r="K30">
        <v>91</v>
      </c>
      <c r="L30">
        <v>10.28</v>
      </c>
      <c r="M30">
        <v>226.6</v>
      </c>
      <c r="N30">
        <v>110</v>
      </c>
      <c r="O30">
        <v>10.199999999999999</v>
      </c>
      <c r="P30">
        <v>10.7</v>
      </c>
      <c r="Q30">
        <v>9</v>
      </c>
      <c r="R30">
        <v>2.89</v>
      </c>
      <c r="S30">
        <v>0</v>
      </c>
      <c r="T30" t="b">
        <v>0</v>
      </c>
    </row>
    <row r="31" spans="1:20">
      <c r="A31" t="s">
        <v>51</v>
      </c>
      <c r="B31">
        <v>106</v>
      </c>
      <c r="C31">
        <v>408</v>
      </c>
      <c r="D31" t="s">
        <v>21</v>
      </c>
      <c r="E31" t="s">
        <v>27</v>
      </c>
      <c r="F31">
        <v>32</v>
      </c>
      <c r="G31">
        <v>165.9</v>
      </c>
      <c r="H31">
        <v>126</v>
      </c>
      <c r="I31">
        <v>28.2</v>
      </c>
      <c r="J31">
        <v>216.5</v>
      </c>
      <c r="K31">
        <v>93</v>
      </c>
      <c r="L31">
        <v>18.399999999999999</v>
      </c>
      <c r="M31">
        <v>173.1</v>
      </c>
      <c r="N31">
        <v>86</v>
      </c>
      <c r="O31">
        <v>7.79</v>
      </c>
      <c r="P31">
        <v>14.1</v>
      </c>
      <c r="Q31">
        <v>8</v>
      </c>
      <c r="R31">
        <v>3.81</v>
      </c>
      <c r="S31">
        <v>4</v>
      </c>
      <c r="T31" t="b">
        <v>0</v>
      </c>
    </row>
    <row r="32" spans="1:20">
      <c r="A32" t="s">
        <v>52</v>
      </c>
      <c r="B32">
        <v>92</v>
      </c>
      <c r="C32">
        <v>408</v>
      </c>
      <c r="D32" t="s">
        <v>27</v>
      </c>
      <c r="E32" t="s">
        <v>21</v>
      </c>
      <c r="F32">
        <v>0</v>
      </c>
      <c r="G32">
        <v>62.6</v>
      </c>
      <c r="H32">
        <v>111</v>
      </c>
      <c r="I32">
        <v>10.64</v>
      </c>
      <c r="J32">
        <v>180.6</v>
      </c>
      <c r="K32">
        <v>126</v>
      </c>
      <c r="L32">
        <v>15.35</v>
      </c>
      <c r="M32">
        <v>221.7</v>
      </c>
      <c r="N32">
        <v>80</v>
      </c>
      <c r="O32">
        <v>9.98</v>
      </c>
      <c r="P32">
        <v>10.4</v>
      </c>
      <c r="Q32">
        <v>2</v>
      </c>
      <c r="R32">
        <v>2.81</v>
      </c>
      <c r="S32">
        <v>1</v>
      </c>
      <c r="T32" t="b">
        <v>1</v>
      </c>
    </row>
    <row r="33" spans="1:20">
      <c r="A33" t="s">
        <v>53</v>
      </c>
      <c r="B33">
        <v>155</v>
      </c>
      <c r="C33">
        <v>408</v>
      </c>
      <c r="D33" t="s">
        <v>21</v>
      </c>
      <c r="E33" t="s">
        <v>21</v>
      </c>
      <c r="F33">
        <v>0</v>
      </c>
      <c r="G33">
        <v>262.39999999999998</v>
      </c>
      <c r="H33">
        <v>55</v>
      </c>
      <c r="I33">
        <v>44.61</v>
      </c>
      <c r="J33">
        <v>194.6</v>
      </c>
      <c r="K33">
        <v>113</v>
      </c>
      <c r="L33">
        <v>16.54</v>
      </c>
      <c r="M33">
        <v>146.5</v>
      </c>
      <c r="N33">
        <v>85</v>
      </c>
      <c r="O33">
        <v>6.59</v>
      </c>
      <c r="P33">
        <v>8.3000000000000007</v>
      </c>
      <c r="Q33">
        <v>6</v>
      </c>
      <c r="R33">
        <v>2.2400000000000002</v>
      </c>
      <c r="S33">
        <v>2</v>
      </c>
      <c r="T33" t="b">
        <v>0</v>
      </c>
    </row>
    <row r="34" spans="1:20">
      <c r="A34" t="s">
        <v>54</v>
      </c>
      <c r="B34">
        <v>144</v>
      </c>
      <c r="C34">
        <v>408</v>
      </c>
      <c r="D34" t="s">
        <v>21</v>
      </c>
      <c r="E34" t="s">
        <v>27</v>
      </c>
      <c r="F34">
        <v>48</v>
      </c>
      <c r="G34">
        <v>189.8</v>
      </c>
      <c r="H34">
        <v>96</v>
      </c>
      <c r="I34">
        <v>32.270000000000003</v>
      </c>
      <c r="J34">
        <v>123.4</v>
      </c>
      <c r="K34">
        <v>67</v>
      </c>
      <c r="L34">
        <v>10.49</v>
      </c>
      <c r="M34">
        <v>214.2</v>
      </c>
      <c r="N34">
        <v>106</v>
      </c>
      <c r="O34">
        <v>9.64</v>
      </c>
      <c r="P34">
        <v>6.5</v>
      </c>
      <c r="Q34">
        <v>2</v>
      </c>
      <c r="R34">
        <v>1.76</v>
      </c>
      <c r="S34">
        <v>2</v>
      </c>
      <c r="T34" t="b">
        <v>1</v>
      </c>
    </row>
    <row r="35" spans="1:20">
      <c r="A35" t="s">
        <v>55</v>
      </c>
      <c r="B35">
        <v>89</v>
      </c>
      <c r="C35">
        <v>510</v>
      </c>
      <c r="D35" t="s">
        <v>21</v>
      </c>
      <c r="E35" t="s">
        <v>21</v>
      </c>
      <c r="F35">
        <v>0</v>
      </c>
      <c r="G35">
        <v>303.89999999999998</v>
      </c>
      <c r="H35">
        <v>95</v>
      </c>
      <c r="I35">
        <v>51.66</v>
      </c>
      <c r="J35">
        <v>260.89999999999998</v>
      </c>
      <c r="K35">
        <v>114</v>
      </c>
      <c r="L35">
        <v>22.18</v>
      </c>
      <c r="M35">
        <v>312.10000000000002</v>
      </c>
      <c r="N35">
        <v>89</v>
      </c>
      <c r="O35">
        <v>14.04</v>
      </c>
      <c r="P35">
        <v>5.3</v>
      </c>
      <c r="Q35">
        <v>3</v>
      </c>
      <c r="R35">
        <v>1.43</v>
      </c>
      <c r="S35">
        <v>1</v>
      </c>
      <c r="T35" t="b">
        <v>1</v>
      </c>
    </row>
    <row r="36" spans="1:20">
      <c r="A36" t="s">
        <v>56</v>
      </c>
      <c r="B36">
        <v>199</v>
      </c>
      <c r="C36">
        <v>415</v>
      </c>
      <c r="D36" t="s">
        <v>21</v>
      </c>
      <c r="E36" t="s">
        <v>27</v>
      </c>
      <c r="F36">
        <v>34</v>
      </c>
      <c r="G36">
        <v>230.6</v>
      </c>
      <c r="H36">
        <v>121</v>
      </c>
      <c r="I36">
        <v>39.200000000000003</v>
      </c>
      <c r="J36">
        <v>219.4</v>
      </c>
      <c r="K36">
        <v>99</v>
      </c>
      <c r="L36">
        <v>18.649999999999999</v>
      </c>
      <c r="M36">
        <v>299.3</v>
      </c>
      <c r="N36">
        <v>94</v>
      </c>
      <c r="O36">
        <v>13.47</v>
      </c>
      <c r="P36">
        <v>8</v>
      </c>
      <c r="Q36">
        <v>2</v>
      </c>
      <c r="R36">
        <v>2.16</v>
      </c>
      <c r="S36">
        <v>0</v>
      </c>
      <c r="T36" t="b">
        <v>0</v>
      </c>
    </row>
    <row r="37" spans="1:20">
      <c r="A37" t="s">
        <v>57</v>
      </c>
      <c r="B37">
        <v>121</v>
      </c>
      <c r="C37">
        <v>408</v>
      </c>
      <c r="D37" t="s">
        <v>21</v>
      </c>
      <c r="E37" t="s">
        <v>21</v>
      </c>
      <c r="F37">
        <v>0</v>
      </c>
      <c r="G37">
        <v>170.4</v>
      </c>
      <c r="H37">
        <v>108</v>
      </c>
      <c r="I37">
        <v>28.97</v>
      </c>
      <c r="J37">
        <v>350.5</v>
      </c>
      <c r="K37">
        <v>68</v>
      </c>
      <c r="L37">
        <v>29.79</v>
      </c>
      <c r="M37">
        <v>297</v>
      </c>
      <c r="N37">
        <v>87</v>
      </c>
      <c r="O37">
        <v>13.37</v>
      </c>
      <c r="P37">
        <v>11.2</v>
      </c>
      <c r="Q37">
        <v>3</v>
      </c>
      <c r="R37">
        <v>3.02</v>
      </c>
      <c r="S37">
        <v>0</v>
      </c>
      <c r="T37" t="b">
        <v>1</v>
      </c>
    </row>
    <row r="38" spans="1:20">
      <c r="A38" t="s">
        <v>58</v>
      </c>
      <c r="B38">
        <v>148</v>
      </c>
      <c r="C38">
        <v>415</v>
      </c>
      <c r="D38" t="s">
        <v>21</v>
      </c>
      <c r="E38" t="s">
        <v>21</v>
      </c>
      <c r="F38">
        <v>0</v>
      </c>
      <c r="G38">
        <v>124.4</v>
      </c>
      <c r="H38">
        <v>83</v>
      </c>
      <c r="I38">
        <v>21.15</v>
      </c>
      <c r="J38">
        <v>179.7</v>
      </c>
      <c r="K38">
        <v>81</v>
      </c>
      <c r="L38">
        <v>15.27</v>
      </c>
      <c r="M38">
        <v>253</v>
      </c>
      <c r="N38">
        <v>99</v>
      </c>
      <c r="O38">
        <v>11.39</v>
      </c>
      <c r="P38">
        <v>11.3</v>
      </c>
      <c r="Q38">
        <v>6</v>
      </c>
      <c r="R38">
        <v>3.05</v>
      </c>
      <c r="S38">
        <v>0</v>
      </c>
      <c r="T38" t="b">
        <v>0</v>
      </c>
    </row>
    <row r="39" spans="1:20">
      <c r="A39" t="s">
        <v>59</v>
      </c>
      <c r="B39">
        <v>96</v>
      </c>
      <c r="C39">
        <v>408</v>
      </c>
      <c r="D39" t="s">
        <v>21</v>
      </c>
      <c r="E39" t="s">
        <v>27</v>
      </c>
      <c r="F39">
        <v>26</v>
      </c>
      <c r="G39">
        <v>145.80000000000001</v>
      </c>
      <c r="H39">
        <v>108</v>
      </c>
      <c r="I39">
        <v>24.79</v>
      </c>
      <c r="J39">
        <v>192.2</v>
      </c>
      <c r="K39">
        <v>89</v>
      </c>
      <c r="L39">
        <v>16.34</v>
      </c>
      <c r="M39">
        <v>165.1</v>
      </c>
      <c r="N39">
        <v>96</v>
      </c>
      <c r="O39">
        <v>7.43</v>
      </c>
      <c r="P39">
        <v>9.9</v>
      </c>
      <c r="Q39">
        <v>2</v>
      </c>
      <c r="R39">
        <v>2.67</v>
      </c>
      <c r="S39">
        <v>1</v>
      </c>
      <c r="T39" t="b">
        <v>0</v>
      </c>
    </row>
    <row r="40" spans="1:20">
      <c r="A40" t="s">
        <v>60</v>
      </c>
      <c r="B40">
        <v>64</v>
      </c>
      <c r="C40">
        <v>415</v>
      </c>
      <c r="D40" t="s">
        <v>21</v>
      </c>
      <c r="E40" t="s">
        <v>21</v>
      </c>
      <c r="F40">
        <v>0</v>
      </c>
      <c r="G40">
        <v>97.2</v>
      </c>
      <c r="H40">
        <v>80</v>
      </c>
      <c r="I40">
        <v>16.52</v>
      </c>
      <c r="J40">
        <v>186.2</v>
      </c>
      <c r="K40">
        <v>90</v>
      </c>
      <c r="L40">
        <v>15.83</v>
      </c>
      <c r="M40">
        <v>189</v>
      </c>
      <c r="N40">
        <v>92</v>
      </c>
      <c r="O40">
        <v>8.5</v>
      </c>
      <c r="P40">
        <v>10.4</v>
      </c>
      <c r="Q40">
        <v>6</v>
      </c>
      <c r="R40">
        <v>2.81</v>
      </c>
      <c r="S40">
        <v>2</v>
      </c>
      <c r="T40" t="b">
        <v>0</v>
      </c>
    </row>
    <row r="41" spans="1:20">
      <c r="A41" t="s">
        <v>61</v>
      </c>
      <c r="B41">
        <v>112</v>
      </c>
      <c r="C41">
        <v>415</v>
      </c>
      <c r="D41" t="s">
        <v>21</v>
      </c>
      <c r="E41" t="s">
        <v>27</v>
      </c>
      <c r="F41">
        <v>16</v>
      </c>
      <c r="G41">
        <v>221.6</v>
      </c>
      <c r="H41">
        <v>110</v>
      </c>
      <c r="I41">
        <v>37.67</v>
      </c>
      <c r="J41">
        <v>130.19999999999999</v>
      </c>
      <c r="K41">
        <v>123</v>
      </c>
      <c r="L41">
        <v>11.07</v>
      </c>
      <c r="M41">
        <v>200</v>
      </c>
      <c r="N41">
        <v>108</v>
      </c>
      <c r="O41">
        <v>9</v>
      </c>
      <c r="P41">
        <v>11.3</v>
      </c>
      <c r="Q41">
        <v>3</v>
      </c>
      <c r="R41">
        <v>3.05</v>
      </c>
      <c r="S41">
        <v>1</v>
      </c>
      <c r="T41" t="b">
        <v>0</v>
      </c>
    </row>
    <row r="42" spans="1:20">
      <c r="A42" t="s">
        <v>62</v>
      </c>
      <c r="B42">
        <v>75</v>
      </c>
      <c r="C42">
        <v>408</v>
      </c>
      <c r="D42" t="s">
        <v>27</v>
      </c>
      <c r="E42" t="s">
        <v>21</v>
      </c>
      <c r="F42">
        <v>0</v>
      </c>
      <c r="G42">
        <v>211.3</v>
      </c>
      <c r="H42">
        <v>61</v>
      </c>
      <c r="I42">
        <v>35.92</v>
      </c>
      <c r="J42">
        <v>105.6</v>
      </c>
      <c r="K42">
        <v>119</v>
      </c>
      <c r="L42">
        <v>8.98</v>
      </c>
      <c r="M42">
        <v>175.9</v>
      </c>
      <c r="N42">
        <v>63</v>
      </c>
      <c r="O42">
        <v>7.92</v>
      </c>
      <c r="P42">
        <v>9.6999999999999993</v>
      </c>
      <c r="Q42">
        <v>4</v>
      </c>
      <c r="R42">
        <v>2.62</v>
      </c>
      <c r="S42">
        <v>4</v>
      </c>
      <c r="T42" t="b">
        <v>1</v>
      </c>
    </row>
    <row r="43" spans="1:20">
      <c r="A43" t="s">
        <v>63</v>
      </c>
      <c r="B43">
        <v>87</v>
      </c>
      <c r="C43">
        <v>510</v>
      </c>
      <c r="D43" t="s">
        <v>21</v>
      </c>
      <c r="E43" t="s">
        <v>21</v>
      </c>
      <c r="F43">
        <v>0</v>
      </c>
      <c r="G43">
        <v>231.3</v>
      </c>
      <c r="H43">
        <v>105</v>
      </c>
      <c r="I43">
        <v>39.32</v>
      </c>
      <c r="J43">
        <v>171.7</v>
      </c>
      <c r="K43">
        <v>108</v>
      </c>
      <c r="L43">
        <v>14.59</v>
      </c>
      <c r="M43">
        <v>67.7</v>
      </c>
      <c r="N43">
        <v>136</v>
      </c>
      <c r="O43">
        <v>3.05</v>
      </c>
      <c r="P43">
        <v>13</v>
      </c>
      <c r="Q43">
        <v>6</v>
      </c>
      <c r="R43">
        <v>3.51</v>
      </c>
      <c r="S43">
        <v>1</v>
      </c>
      <c r="T43" t="b">
        <v>0</v>
      </c>
    </row>
    <row r="44" spans="1:20">
      <c r="A44" t="s">
        <v>64</v>
      </c>
      <c r="B44">
        <v>95</v>
      </c>
      <c r="C44">
        <v>415</v>
      </c>
      <c r="D44" t="s">
        <v>21</v>
      </c>
      <c r="E44" t="s">
        <v>27</v>
      </c>
      <c r="F44">
        <v>22</v>
      </c>
      <c r="G44">
        <v>40.9</v>
      </c>
      <c r="H44">
        <v>126</v>
      </c>
      <c r="I44">
        <v>6.95</v>
      </c>
      <c r="J44">
        <v>133.4</v>
      </c>
      <c r="K44">
        <v>90</v>
      </c>
      <c r="L44">
        <v>11.34</v>
      </c>
      <c r="M44">
        <v>264.2</v>
      </c>
      <c r="N44">
        <v>91</v>
      </c>
      <c r="O44">
        <v>11.89</v>
      </c>
      <c r="P44">
        <v>11.9</v>
      </c>
      <c r="Q44">
        <v>7</v>
      </c>
      <c r="R44">
        <v>3.21</v>
      </c>
      <c r="S44">
        <v>0</v>
      </c>
      <c r="T44" t="b">
        <v>0</v>
      </c>
    </row>
    <row r="45" spans="1:20">
      <c r="A45" t="s">
        <v>65</v>
      </c>
      <c r="B45">
        <v>79</v>
      </c>
      <c r="C45">
        <v>510</v>
      </c>
      <c r="D45" t="s">
        <v>21</v>
      </c>
      <c r="E45" t="s">
        <v>27</v>
      </c>
      <c r="F45">
        <v>31</v>
      </c>
      <c r="G45">
        <v>103.1</v>
      </c>
      <c r="H45">
        <v>90</v>
      </c>
      <c r="I45">
        <v>17.53</v>
      </c>
      <c r="J45">
        <v>243</v>
      </c>
      <c r="K45">
        <v>135</v>
      </c>
      <c r="L45">
        <v>20.66</v>
      </c>
      <c r="M45">
        <v>76.400000000000006</v>
      </c>
      <c r="N45">
        <v>92</v>
      </c>
      <c r="O45">
        <v>3.44</v>
      </c>
      <c r="P45">
        <v>12.2</v>
      </c>
      <c r="Q45">
        <v>8</v>
      </c>
      <c r="R45">
        <v>3.29</v>
      </c>
      <c r="S45">
        <v>3</v>
      </c>
      <c r="T45" t="b">
        <v>0</v>
      </c>
    </row>
    <row r="46" spans="1:20">
      <c r="A46" t="s">
        <v>66</v>
      </c>
      <c r="B46">
        <v>44</v>
      </c>
      <c r="C46">
        <v>510</v>
      </c>
      <c r="D46" t="s">
        <v>21</v>
      </c>
      <c r="E46" t="s">
        <v>21</v>
      </c>
      <c r="F46">
        <v>0</v>
      </c>
      <c r="G46">
        <v>228.1</v>
      </c>
      <c r="H46">
        <v>121</v>
      </c>
      <c r="I46">
        <v>38.78</v>
      </c>
      <c r="J46">
        <v>276.5</v>
      </c>
      <c r="K46">
        <v>79</v>
      </c>
      <c r="L46">
        <v>23.5</v>
      </c>
      <c r="M46">
        <v>279.8</v>
      </c>
      <c r="N46">
        <v>77</v>
      </c>
      <c r="O46">
        <v>12.59</v>
      </c>
      <c r="P46">
        <v>9.9</v>
      </c>
      <c r="Q46">
        <v>5</v>
      </c>
      <c r="R46">
        <v>2.67</v>
      </c>
      <c r="S46">
        <v>2</v>
      </c>
      <c r="T46" t="b">
        <v>1</v>
      </c>
    </row>
    <row r="47" spans="1:20">
      <c r="A47" t="s">
        <v>67</v>
      </c>
      <c r="B47">
        <v>82</v>
      </c>
      <c r="C47">
        <v>408</v>
      </c>
      <c r="D47" t="s">
        <v>21</v>
      </c>
      <c r="E47" t="s">
        <v>21</v>
      </c>
      <c r="F47">
        <v>0</v>
      </c>
      <c r="G47">
        <v>125.7</v>
      </c>
      <c r="H47">
        <v>96</v>
      </c>
      <c r="I47">
        <v>21.37</v>
      </c>
      <c r="J47">
        <v>207.6</v>
      </c>
      <c r="K47">
        <v>137</v>
      </c>
      <c r="L47">
        <v>17.649999999999999</v>
      </c>
      <c r="M47">
        <v>183.1</v>
      </c>
      <c r="N47">
        <v>103</v>
      </c>
      <c r="O47">
        <v>8.24</v>
      </c>
      <c r="P47">
        <v>12.9</v>
      </c>
      <c r="Q47">
        <v>2</v>
      </c>
      <c r="R47">
        <v>3.48</v>
      </c>
      <c r="S47">
        <v>1</v>
      </c>
      <c r="T47" t="b">
        <v>0</v>
      </c>
    </row>
    <row r="48" spans="1:20">
      <c r="A48" t="s">
        <v>68</v>
      </c>
      <c r="B48">
        <v>88</v>
      </c>
      <c r="C48">
        <v>415</v>
      </c>
      <c r="D48" t="s">
        <v>21</v>
      </c>
      <c r="E48" t="s">
        <v>21</v>
      </c>
      <c r="F48">
        <v>0</v>
      </c>
      <c r="G48">
        <v>161.5</v>
      </c>
      <c r="H48">
        <v>92</v>
      </c>
      <c r="I48">
        <v>27.46</v>
      </c>
      <c r="J48">
        <v>173.5</v>
      </c>
      <c r="K48">
        <v>108</v>
      </c>
      <c r="L48">
        <v>14.75</v>
      </c>
      <c r="M48">
        <v>206.2</v>
      </c>
      <c r="N48">
        <v>95</v>
      </c>
      <c r="O48">
        <v>9.2799999999999994</v>
      </c>
      <c r="P48">
        <v>7.9</v>
      </c>
      <c r="Q48">
        <v>4</v>
      </c>
      <c r="R48">
        <v>2.13</v>
      </c>
      <c r="S48">
        <v>2</v>
      </c>
      <c r="T48" t="b">
        <v>0</v>
      </c>
    </row>
    <row r="49" spans="1:20">
      <c r="A49" t="s">
        <v>69</v>
      </c>
      <c r="B49">
        <v>54</v>
      </c>
      <c r="C49">
        <v>415</v>
      </c>
      <c r="D49" t="s">
        <v>21</v>
      </c>
      <c r="E49" t="s">
        <v>27</v>
      </c>
      <c r="F49">
        <v>39</v>
      </c>
      <c r="G49">
        <v>206.9</v>
      </c>
      <c r="H49">
        <v>143</v>
      </c>
      <c r="I49">
        <v>35.17</v>
      </c>
      <c r="J49">
        <v>127.8</v>
      </c>
      <c r="K49">
        <v>72</v>
      </c>
      <c r="L49">
        <v>10.86</v>
      </c>
      <c r="M49">
        <v>199.2</v>
      </c>
      <c r="N49">
        <v>120</v>
      </c>
      <c r="O49">
        <v>8.9600000000000009</v>
      </c>
      <c r="P49">
        <v>9.1999999999999993</v>
      </c>
      <c r="Q49">
        <v>1</v>
      </c>
      <c r="R49">
        <v>2.48</v>
      </c>
      <c r="S49">
        <v>3</v>
      </c>
      <c r="T49" t="b">
        <v>0</v>
      </c>
    </row>
    <row r="50" spans="1:20">
      <c r="A50" t="s">
        <v>70</v>
      </c>
      <c r="B50">
        <v>33</v>
      </c>
      <c r="C50">
        <v>415</v>
      </c>
      <c r="D50" t="s">
        <v>21</v>
      </c>
      <c r="E50" t="s">
        <v>27</v>
      </c>
      <c r="F50">
        <v>35</v>
      </c>
      <c r="G50">
        <v>186.8</v>
      </c>
      <c r="H50">
        <v>124</v>
      </c>
      <c r="I50">
        <v>31.76</v>
      </c>
      <c r="J50">
        <v>261</v>
      </c>
      <c r="K50">
        <v>69</v>
      </c>
      <c r="L50">
        <v>22.19</v>
      </c>
      <c r="M50">
        <v>317.8</v>
      </c>
      <c r="N50">
        <v>103</v>
      </c>
      <c r="O50">
        <v>14.3</v>
      </c>
      <c r="P50">
        <v>15</v>
      </c>
      <c r="Q50">
        <v>5</v>
      </c>
      <c r="R50">
        <v>4.05</v>
      </c>
      <c r="S50">
        <v>0</v>
      </c>
      <c r="T50" t="b">
        <v>0</v>
      </c>
    </row>
    <row r="51" spans="1:20">
      <c r="A51" t="s">
        <v>71</v>
      </c>
      <c r="B51">
        <v>63</v>
      </c>
      <c r="C51">
        <v>510</v>
      </c>
      <c r="D51" t="s">
        <v>21</v>
      </c>
      <c r="E51" t="s">
        <v>21</v>
      </c>
      <c r="F51">
        <v>0</v>
      </c>
      <c r="G51">
        <v>153.5</v>
      </c>
      <c r="H51">
        <v>81</v>
      </c>
      <c r="I51">
        <v>26.1</v>
      </c>
      <c r="J51">
        <v>287.3</v>
      </c>
      <c r="K51">
        <v>115</v>
      </c>
      <c r="L51">
        <v>24.42</v>
      </c>
      <c r="M51">
        <v>230.2</v>
      </c>
      <c r="N51">
        <v>85</v>
      </c>
      <c r="O51">
        <v>10.36</v>
      </c>
      <c r="P51">
        <v>6.5</v>
      </c>
      <c r="Q51">
        <v>5</v>
      </c>
      <c r="R51">
        <v>1.76</v>
      </c>
      <c r="S51">
        <v>2</v>
      </c>
      <c r="T51" t="b">
        <v>0</v>
      </c>
    </row>
    <row r="52" spans="1:20">
      <c r="A52" t="s">
        <v>72</v>
      </c>
      <c r="B52">
        <v>107</v>
      </c>
      <c r="C52">
        <v>510</v>
      </c>
      <c r="D52" t="s">
        <v>21</v>
      </c>
      <c r="E52" t="s">
        <v>21</v>
      </c>
      <c r="F52">
        <v>0</v>
      </c>
      <c r="G52">
        <v>194.5</v>
      </c>
      <c r="H52">
        <v>97</v>
      </c>
      <c r="I52">
        <v>33.07</v>
      </c>
      <c r="J52">
        <v>186.3</v>
      </c>
      <c r="K52">
        <v>131</v>
      </c>
      <c r="L52">
        <v>15.84</v>
      </c>
      <c r="M52">
        <v>178.3</v>
      </c>
      <c r="N52">
        <v>106</v>
      </c>
      <c r="O52">
        <v>8.02</v>
      </c>
      <c r="P52">
        <v>12.7</v>
      </c>
      <c r="Q52">
        <v>1</v>
      </c>
      <c r="R52">
        <v>3.43</v>
      </c>
      <c r="S52">
        <v>2</v>
      </c>
      <c r="T52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68"/>
  <sheetViews>
    <sheetView tabSelected="1" workbookViewId="0">
      <selection activeCell="I5" sqref="I5"/>
    </sheetView>
  </sheetViews>
  <sheetFormatPr defaultRowHeight="14.45"/>
  <cols>
    <col min="7" max="7" width="18" customWidth="1"/>
    <col min="8" max="8" width="20.5703125" customWidth="1"/>
    <col min="9" max="9" width="27.42578125" customWidth="1"/>
    <col min="10" max="10" width="24.42578125" customWidth="1"/>
    <col min="11" max="11" width="2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73</v>
      </c>
      <c r="V1" s="1" t="s">
        <v>74</v>
      </c>
      <c r="W1" s="1" t="s">
        <v>75</v>
      </c>
      <c r="X1" s="1" t="s">
        <v>76</v>
      </c>
      <c r="Y1" s="2" t="s">
        <v>77</v>
      </c>
    </row>
    <row r="2" spans="1:25">
      <c r="A2" t="s">
        <v>20</v>
      </c>
      <c r="B2">
        <v>117</v>
      </c>
      <c r="C2">
        <v>408</v>
      </c>
      <c r="D2" t="s">
        <v>21</v>
      </c>
      <c r="E2" t="s">
        <v>21</v>
      </c>
      <c r="F2">
        <v>0</v>
      </c>
      <c r="G2">
        <v>184.5</v>
      </c>
      <c r="H2">
        <v>97</v>
      </c>
      <c r="I2">
        <v>31.37</v>
      </c>
      <c r="J2">
        <v>351.6</v>
      </c>
      <c r="K2">
        <v>80</v>
      </c>
      <c r="L2">
        <v>29.89</v>
      </c>
      <c r="M2">
        <v>215.8</v>
      </c>
      <c r="N2">
        <v>90</v>
      </c>
      <c r="O2">
        <v>9.7100000000000009</v>
      </c>
      <c r="P2">
        <v>8.6999999999999993</v>
      </c>
      <c r="Q2">
        <v>4</v>
      </c>
      <c r="R2">
        <v>2.35</v>
      </c>
      <c r="S2">
        <v>1</v>
      </c>
      <c r="T2" t="b">
        <v>0</v>
      </c>
      <c r="U2" t="str">
        <f>IF(G2&gt;200,"High Usage","Normal Usage")</f>
        <v>Normal Usage</v>
      </c>
      <c r="V2" t="str">
        <f>IF(AND(S2&gt;3,D2="Yes"),"High Risk","Normal")</f>
        <v>Normal</v>
      </c>
      <c r="W2" t="str">
        <f>IF(OR(S2&gt;3,G2&gt;250),"Potential Churn","Stable")</f>
        <v>Stable</v>
      </c>
      <c r="X2" t="str">
        <f>IF(S2&gt;5,"Critical",IF(S2&gt;=3,"Medium","Low"))</f>
        <v>Low</v>
      </c>
      <c r="Y2">
        <f>VLOOKUP(A2,A1:U668,2,FALSE)</f>
        <v>117</v>
      </c>
    </row>
    <row r="3" spans="1:25">
      <c r="A3" t="s">
        <v>22</v>
      </c>
      <c r="B3">
        <v>65</v>
      </c>
      <c r="C3">
        <v>415</v>
      </c>
      <c r="D3" t="s">
        <v>21</v>
      </c>
      <c r="E3" t="s">
        <v>21</v>
      </c>
      <c r="F3">
        <v>0</v>
      </c>
      <c r="G3">
        <v>129.1</v>
      </c>
      <c r="H3">
        <v>137</v>
      </c>
      <c r="I3">
        <v>21.95</v>
      </c>
      <c r="J3">
        <v>228.5</v>
      </c>
      <c r="K3">
        <v>83</v>
      </c>
      <c r="L3">
        <v>19.420000000000002</v>
      </c>
      <c r="M3">
        <v>208.8</v>
      </c>
      <c r="N3">
        <v>111</v>
      </c>
      <c r="O3">
        <v>9.4</v>
      </c>
      <c r="P3">
        <v>12.7</v>
      </c>
      <c r="Q3">
        <v>6</v>
      </c>
      <c r="R3">
        <v>3.43</v>
      </c>
      <c r="S3">
        <v>4</v>
      </c>
      <c r="T3" t="b">
        <v>1</v>
      </c>
      <c r="U3" t="str">
        <f t="shared" ref="U3:U66" si="0">IF(G3&gt;200,"High Usage","Normal Usage")</f>
        <v>Normal Usage</v>
      </c>
      <c r="V3" t="str">
        <f t="shared" ref="V3:V66" si="1">IF(AND(S3&gt;3,D3="Yes"),"High Risk","Normal")</f>
        <v>Normal</v>
      </c>
      <c r="W3" t="str">
        <f t="shared" ref="W3:W66" si="2">IF(OR(S3&gt;3,G3&gt;250),"Potential Churn","Stable")</f>
        <v>Potential Churn</v>
      </c>
      <c r="X3" t="str">
        <f t="shared" ref="X3:X66" si="3">IF(S3&gt;5,"Critical",IF(S3&gt;=3,"Medium","Low"))</f>
        <v>Medium</v>
      </c>
      <c r="Y3">
        <f t="shared" ref="Y3:Y66" si="4">VLOOKUP(A3,A2:U669,2,FALSE)</f>
        <v>65</v>
      </c>
    </row>
    <row r="4" spans="1:25">
      <c r="A4" t="s">
        <v>23</v>
      </c>
      <c r="B4">
        <v>161</v>
      </c>
      <c r="C4">
        <v>415</v>
      </c>
      <c r="D4" t="s">
        <v>21</v>
      </c>
      <c r="E4" t="s">
        <v>21</v>
      </c>
      <c r="F4">
        <v>0</v>
      </c>
      <c r="G4">
        <v>332.9</v>
      </c>
      <c r="H4">
        <v>67</v>
      </c>
      <c r="I4">
        <v>56.59</v>
      </c>
      <c r="J4">
        <v>317.8</v>
      </c>
      <c r="K4">
        <v>97</v>
      </c>
      <c r="L4">
        <v>27.01</v>
      </c>
      <c r="M4">
        <v>160.6</v>
      </c>
      <c r="N4">
        <v>128</v>
      </c>
      <c r="O4">
        <v>7.23</v>
      </c>
      <c r="P4">
        <v>5.4</v>
      </c>
      <c r="Q4">
        <v>9</v>
      </c>
      <c r="R4">
        <v>1.46</v>
      </c>
      <c r="S4">
        <v>4</v>
      </c>
      <c r="T4" t="b">
        <v>1</v>
      </c>
      <c r="U4" t="str">
        <f t="shared" si="0"/>
        <v>High Usage</v>
      </c>
      <c r="V4" t="str">
        <f t="shared" si="1"/>
        <v>Normal</v>
      </c>
      <c r="W4" t="str">
        <f t="shared" si="2"/>
        <v>Potential Churn</v>
      </c>
      <c r="X4" t="str">
        <f t="shared" si="3"/>
        <v>Medium</v>
      </c>
      <c r="Y4">
        <f t="shared" si="4"/>
        <v>161</v>
      </c>
    </row>
    <row r="5" spans="1:25">
      <c r="A5" t="s">
        <v>24</v>
      </c>
      <c r="B5">
        <v>111</v>
      </c>
      <c r="C5">
        <v>415</v>
      </c>
      <c r="D5" t="s">
        <v>21</v>
      </c>
      <c r="E5" t="s">
        <v>21</v>
      </c>
      <c r="F5">
        <v>0</v>
      </c>
      <c r="G5">
        <v>110.4</v>
      </c>
      <c r="H5">
        <v>103</v>
      </c>
      <c r="I5">
        <v>18.77</v>
      </c>
      <c r="J5">
        <v>137.30000000000001</v>
      </c>
      <c r="K5">
        <v>102</v>
      </c>
      <c r="L5">
        <v>11.67</v>
      </c>
      <c r="M5">
        <v>189.6</v>
      </c>
      <c r="N5">
        <v>105</v>
      </c>
      <c r="O5">
        <v>8.5299999999999994</v>
      </c>
      <c r="P5">
        <v>7.7</v>
      </c>
      <c r="Q5">
        <v>6</v>
      </c>
      <c r="R5">
        <v>2.08</v>
      </c>
      <c r="S5">
        <v>2</v>
      </c>
      <c r="T5" t="b">
        <v>0</v>
      </c>
      <c r="U5" t="str">
        <f t="shared" si="0"/>
        <v>Normal Usage</v>
      </c>
      <c r="V5" t="str">
        <f t="shared" si="1"/>
        <v>Normal</v>
      </c>
      <c r="W5" t="str">
        <f t="shared" si="2"/>
        <v>Stable</v>
      </c>
      <c r="X5" t="str">
        <f t="shared" si="3"/>
        <v>Low</v>
      </c>
      <c r="Y5">
        <f t="shared" si="4"/>
        <v>111</v>
      </c>
    </row>
    <row r="6" spans="1:25">
      <c r="A6" t="s">
        <v>25</v>
      </c>
      <c r="B6">
        <v>49</v>
      </c>
      <c r="C6">
        <v>510</v>
      </c>
      <c r="D6" t="s">
        <v>21</v>
      </c>
      <c r="E6" t="s">
        <v>21</v>
      </c>
      <c r="F6">
        <v>0</v>
      </c>
      <c r="G6">
        <v>119.3</v>
      </c>
      <c r="H6">
        <v>117</v>
      </c>
      <c r="I6">
        <v>20.28</v>
      </c>
      <c r="J6">
        <v>215.1</v>
      </c>
      <c r="K6">
        <v>109</v>
      </c>
      <c r="L6">
        <v>18.28</v>
      </c>
      <c r="M6">
        <v>178.7</v>
      </c>
      <c r="N6">
        <v>90</v>
      </c>
      <c r="O6">
        <v>8.0399999999999991</v>
      </c>
      <c r="P6">
        <v>11.1</v>
      </c>
      <c r="Q6">
        <v>1</v>
      </c>
      <c r="R6">
        <v>3</v>
      </c>
      <c r="S6">
        <v>1</v>
      </c>
      <c r="T6" t="b">
        <v>0</v>
      </c>
      <c r="U6" t="str">
        <f t="shared" si="0"/>
        <v>Normal Usage</v>
      </c>
      <c r="V6" t="str">
        <f t="shared" si="1"/>
        <v>Normal</v>
      </c>
      <c r="W6" t="str">
        <f t="shared" si="2"/>
        <v>Stable</v>
      </c>
      <c r="X6" t="str">
        <f t="shared" si="3"/>
        <v>Low</v>
      </c>
      <c r="Y6">
        <f t="shared" si="4"/>
        <v>49</v>
      </c>
    </row>
    <row r="7" spans="1:25">
      <c r="A7" t="s">
        <v>26</v>
      </c>
      <c r="B7">
        <v>36</v>
      </c>
      <c r="C7">
        <v>408</v>
      </c>
      <c r="D7" t="s">
        <v>21</v>
      </c>
      <c r="E7" t="s">
        <v>27</v>
      </c>
      <c r="F7">
        <v>30</v>
      </c>
      <c r="G7">
        <v>146.30000000000001</v>
      </c>
      <c r="H7">
        <v>128</v>
      </c>
      <c r="I7">
        <v>24.87</v>
      </c>
      <c r="J7">
        <v>162.5</v>
      </c>
      <c r="K7">
        <v>80</v>
      </c>
      <c r="L7">
        <v>13.81</v>
      </c>
      <c r="M7">
        <v>129.30000000000001</v>
      </c>
      <c r="N7">
        <v>109</v>
      </c>
      <c r="O7">
        <v>5.82</v>
      </c>
      <c r="P7">
        <v>14.5</v>
      </c>
      <c r="Q7">
        <v>6</v>
      </c>
      <c r="R7">
        <v>3.92</v>
      </c>
      <c r="S7">
        <v>0</v>
      </c>
      <c r="T7" t="b">
        <v>0</v>
      </c>
      <c r="U7" t="str">
        <f t="shared" si="0"/>
        <v>Normal Usage</v>
      </c>
      <c r="V7" t="str">
        <f t="shared" si="1"/>
        <v>Normal</v>
      </c>
      <c r="W7" t="str">
        <f t="shared" si="2"/>
        <v>Stable</v>
      </c>
      <c r="X7" t="str">
        <f t="shared" si="3"/>
        <v>Low</v>
      </c>
      <c r="Y7">
        <f t="shared" si="4"/>
        <v>36</v>
      </c>
    </row>
    <row r="8" spans="1:25">
      <c r="A8" t="s">
        <v>28</v>
      </c>
      <c r="B8">
        <v>65</v>
      </c>
      <c r="C8">
        <v>415</v>
      </c>
      <c r="D8" t="s">
        <v>21</v>
      </c>
      <c r="E8" t="s">
        <v>21</v>
      </c>
      <c r="F8">
        <v>0</v>
      </c>
      <c r="G8">
        <v>211.3</v>
      </c>
      <c r="H8">
        <v>120</v>
      </c>
      <c r="I8">
        <v>35.92</v>
      </c>
      <c r="J8">
        <v>162.6</v>
      </c>
      <c r="K8">
        <v>122</v>
      </c>
      <c r="L8">
        <v>13.82</v>
      </c>
      <c r="M8">
        <v>134.69999999999999</v>
      </c>
      <c r="N8">
        <v>118</v>
      </c>
      <c r="O8">
        <v>6.06</v>
      </c>
      <c r="P8">
        <v>13.2</v>
      </c>
      <c r="Q8">
        <v>5</v>
      </c>
      <c r="R8">
        <v>3.56</v>
      </c>
      <c r="S8">
        <v>3</v>
      </c>
      <c r="T8" t="b">
        <v>0</v>
      </c>
      <c r="U8" t="str">
        <f t="shared" si="0"/>
        <v>High Usage</v>
      </c>
      <c r="V8" t="str">
        <f t="shared" si="1"/>
        <v>Normal</v>
      </c>
      <c r="W8" t="str">
        <f t="shared" si="2"/>
        <v>Stable</v>
      </c>
      <c r="X8" t="str">
        <f t="shared" si="3"/>
        <v>Medium</v>
      </c>
      <c r="Y8">
        <f t="shared" si="4"/>
        <v>65</v>
      </c>
    </row>
    <row r="9" spans="1:25">
      <c r="A9" t="s">
        <v>29</v>
      </c>
      <c r="B9">
        <v>119</v>
      </c>
      <c r="C9">
        <v>415</v>
      </c>
      <c r="D9" t="s">
        <v>21</v>
      </c>
      <c r="E9" t="s">
        <v>21</v>
      </c>
      <c r="F9">
        <v>0</v>
      </c>
      <c r="G9">
        <v>159.1</v>
      </c>
      <c r="H9">
        <v>114</v>
      </c>
      <c r="I9">
        <v>27.05</v>
      </c>
      <c r="J9">
        <v>231.3</v>
      </c>
      <c r="K9">
        <v>117</v>
      </c>
      <c r="L9">
        <v>19.66</v>
      </c>
      <c r="M9">
        <v>143.19999999999999</v>
      </c>
      <c r="N9">
        <v>91</v>
      </c>
      <c r="O9">
        <v>6.44</v>
      </c>
      <c r="P9">
        <v>8.8000000000000007</v>
      </c>
      <c r="Q9">
        <v>3</v>
      </c>
      <c r="R9">
        <v>2.38</v>
      </c>
      <c r="S9">
        <v>5</v>
      </c>
      <c r="T9" t="b">
        <v>1</v>
      </c>
      <c r="U9" t="str">
        <f t="shared" si="0"/>
        <v>Normal Usage</v>
      </c>
      <c r="V9" t="str">
        <f t="shared" si="1"/>
        <v>Normal</v>
      </c>
      <c r="W9" t="str">
        <f t="shared" si="2"/>
        <v>Potential Churn</v>
      </c>
      <c r="X9" t="str">
        <f t="shared" si="3"/>
        <v>Medium</v>
      </c>
      <c r="Y9">
        <f t="shared" si="4"/>
        <v>119</v>
      </c>
    </row>
    <row r="10" spans="1:25">
      <c r="A10" t="s">
        <v>30</v>
      </c>
      <c r="B10">
        <v>10</v>
      </c>
      <c r="C10">
        <v>408</v>
      </c>
      <c r="D10" t="s">
        <v>21</v>
      </c>
      <c r="E10" t="s">
        <v>21</v>
      </c>
      <c r="F10">
        <v>0</v>
      </c>
      <c r="G10">
        <v>186.1</v>
      </c>
      <c r="H10">
        <v>112</v>
      </c>
      <c r="I10">
        <v>31.64</v>
      </c>
      <c r="J10">
        <v>190.2</v>
      </c>
      <c r="K10">
        <v>66</v>
      </c>
      <c r="L10">
        <v>16.170000000000002</v>
      </c>
      <c r="M10">
        <v>282.8</v>
      </c>
      <c r="N10">
        <v>57</v>
      </c>
      <c r="O10">
        <v>12.73</v>
      </c>
      <c r="P10">
        <v>11.4</v>
      </c>
      <c r="Q10">
        <v>6</v>
      </c>
      <c r="R10">
        <v>3.08</v>
      </c>
      <c r="S10">
        <v>2</v>
      </c>
      <c r="T10" t="b">
        <v>0</v>
      </c>
      <c r="U10" t="str">
        <f t="shared" si="0"/>
        <v>Normal Usage</v>
      </c>
      <c r="V10" t="str">
        <f t="shared" si="1"/>
        <v>Normal</v>
      </c>
      <c r="W10" t="str">
        <f t="shared" si="2"/>
        <v>Stable</v>
      </c>
      <c r="X10" t="str">
        <f t="shared" si="3"/>
        <v>Low</v>
      </c>
      <c r="Y10">
        <f t="shared" si="4"/>
        <v>10</v>
      </c>
    </row>
    <row r="11" spans="1:25">
      <c r="A11" t="s">
        <v>31</v>
      </c>
      <c r="B11">
        <v>68</v>
      </c>
      <c r="C11">
        <v>415</v>
      </c>
      <c r="D11" t="s">
        <v>21</v>
      </c>
      <c r="E11" t="s">
        <v>21</v>
      </c>
      <c r="F11">
        <v>0</v>
      </c>
      <c r="G11">
        <v>148.80000000000001</v>
      </c>
      <c r="H11">
        <v>70</v>
      </c>
      <c r="I11">
        <v>25.3</v>
      </c>
      <c r="J11">
        <v>246.5</v>
      </c>
      <c r="K11">
        <v>164</v>
      </c>
      <c r="L11">
        <v>20.95</v>
      </c>
      <c r="M11">
        <v>129.80000000000001</v>
      </c>
      <c r="N11">
        <v>103</v>
      </c>
      <c r="O11">
        <v>5.84</v>
      </c>
      <c r="P11">
        <v>12.1</v>
      </c>
      <c r="Q11">
        <v>3</v>
      </c>
      <c r="R11">
        <v>3.27</v>
      </c>
      <c r="S11">
        <v>3</v>
      </c>
      <c r="T11" t="b">
        <v>0</v>
      </c>
      <c r="U11" t="str">
        <f t="shared" si="0"/>
        <v>Normal Usage</v>
      </c>
      <c r="V11" t="str">
        <f t="shared" si="1"/>
        <v>Normal</v>
      </c>
      <c r="W11" t="str">
        <f t="shared" si="2"/>
        <v>Stable</v>
      </c>
      <c r="X11" t="str">
        <f t="shared" si="3"/>
        <v>Medium</v>
      </c>
      <c r="Y11">
        <f t="shared" si="4"/>
        <v>68</v>
      </c>
    </row>
    <row r="12" spans="1:25">
      <c r="A12" t="s">
        <v>32</v>
      </c>
      <c r="B12">
        <v>74</v>
      </c>
      <c r="C12">
        <v>510</v>
      </c>
      <c r="D12" t="s">
        <v>21</v>
      </c>
      <c r="E12" t="s">
        <v>27</v>
      </c>
      <c r="F12">
        <v>33</v>
      </c>
      <c r="G12">
        <v>193.7</v>
      </c>
      <c r="H12">
        <v>91</v>
      </c>
      <c r="I12">
        <v>32.93</v>
      </c>
      <c r="J12">
        <v>246.1</v>
      </c>
      <c r="K12">
        <v>96</v>
      </c>
      <c r="L12">
        <v>20.92</v>
      </c>
      <c r="M12">
        <v>138</v>
      </c>
      <c r="N12">
        <v>92</v>
      </c>
      <c r="O12">
        <v>6.21</v>
      </c>
      <c r="P12">
        <v>14.6</v>
      </c>
      <c r="Q12">
        <v>3</v>
      </c>
      <c r="R12">
        <v>3.94</v>
      </c>
      <c r="S12">
        <v>2</v>
      </c>
      <c r="T12" t="b">
        <v>0</v>
      </c>
      <c r="U12" t="str">
        <f t="shared" si="0"/>
        <v>Normal Usage</v>
      </c>
      <c r="V12" t="str">
        <f t="shared" si="1"/>
        <v>Normal</v>
      </c>
      <c r="W12" t="str">
        <f t="shared" si="2"/>
        <v>Stable</v>
      </c>
      <c r="X12" t="str">
        <f t="shared" si="3"/>
        <v>Low</v>
      </c>
      <c r="Y12">
        <f t="shared" si="4"/>
        <v>74</v>
      </c>
    </row>
    <row r="13" spans="1:25">
      <c r="A13" t="s">
        <v>25</v>
      </c>
      <c r="B13">
        <v>85</v>
      </c>
      <c r="C13">
        <v>415</v>
      </c>
      <c r="D13" t="s">
        <v>21</v>
      </c>
      <c r="E13" t="s">
        <v>21</v>
      </c>
      <c r="F13">
        <v>0</v>
      </c>
      <c r="G13">
        <v>235.8</v>
      </c>
      <c r="H13">
        <v>109</v>
      </c>
      <c r="I13">
        <v>40.090000000000003</v>
      </c>
      <c r="J13">
        <v>157.19999999999999</v>
      </c>
      <c r="K13">
        <v>94</v>
      </c>
      <c r="L13">
        <v>13.36</v>
      </c>
      <c r="M13">
        <v>188.2</v>
      </c>
      <c r="N13">
        <v>99</v>
      </c>
      <c r="O13">
        <v>8.4700000000000006</v>
      </c>
      <c r="P13">
        <v>12</v>
      </c>
      <c r="Q13">
        <v>3</v>
      </c>
      <c r="R13">
        <v>3.24</v>
      </c>
      <c r="S13">
        <v>0</v>
      </c>
      <c r="T13" t="b">
        <v>0</v>
      </c>
      <c r="U13" t="str">
        <f t="shared" si="0"/>
        <v>High Usage</v>
      </c>
      <c r="V13" t="str">
        <f t="shared" si="1"/>
        <v>Normal</v>
      </c>
      <c r="W13" t="str">
        <f t="shared" si="2"/>
        <v>Stable</v>
      </c>
      <c r="X13" t="str">
        <f t="shared" si="3"/>
        <v>Low</v>
      </c>
      <c r="Y13">
        <f t="shared" si="4"/>
        <v>85</v>
      </c>
    </row>
    <row r="14" spans="1:25">
      <c r="A14" t="s">
        <v>32</v>
      </c>
      <c r="B14">
        <v>46</v>
      </c>
      <c r="C14">
        <v>415</v>
      </c>
      <c r="D14" t="s">
        <v>21</v>
      </c>
      <c r="E14" t="s">
        <v>21</v>
      </c>
      <c r="F14">
        <v>0</v>
      </c>
      <c r="G14">
        <v>214.1</v>
      </c>
      <c r="H14">
        <v>72</v>
      </c>
      <c r="I14">
        <v>36.4</v>
      </c>
      <c r="J14">
        <v>164.4</v>
      </c>
      <c r="K14">
        <v>104</v>
      </c>
      <c r="L14">
        <v>13.97</v>
      </c>
      <c r="M14">
        <v>177.5</v>
      </c>
      <c r="N14">
        <v>113</v>
      </c>
      <c r="O14">
        <v>7.99</v>
      </c>
      <c r="P14">
        <v>8.1999999999999993</v>
      </c>
      <c r="Q14">
        <v>3</v>
      </c>
      <c r="R14">
        <v>2.21</v>
      </c>
      <c r="S14">
        <v>2</v>
      </c>
      <c r="T14" t="b">
        <v>0</v>
      </c>
      <c r="U14" t="str">
        <f t="shared" si="0"/>
        <v>High Usage</v>
      </c>
      <c r="V14" t="str">
        <f t="shared" si="1"/>
        <v>Normal</v>
      </c>
      <c r="W14" t="str">
        <f t="shared" si="2"/>
        <v>Stable</v>
      </c>
      <c r="X14" t="str">
        <f t="shared" si="3"/>
        <v>Low</v>
      </c>
      <c r="Y14">
        <f t="shared" si="4"/>
        <v>46</v>
      </c>
    </row>
    <row r="15" spans="1:25">
      <c r="A15" t="s">
        <v>33</v>
      </c>
      <c r="B15">
        <v>128</v>
      </c>
      <c r="C15">
        <v>510</v>
      </c>
      <c r="D15" t="s">
        <v>21</v>
      </c>
      <c r="E15" t="s">
        <v>27</v>
      </c>
      <c r="F15">
        <v>29</v>
      </c>
      <c r="G15">
        <v>179.3</v>
      </c>
      <c r="H15">
        <v>104</v>
      </c>
      <c r="I15">
        <v>30.48</v>
      </c>
      <c r="J15">
        <v>225.9</v>
      </c>
      <c r="K15">
        <v>86</v>
      </c>
      <c r="L15">
        <v>19.2</v>
      </c>
      <c r="M15">
        <v>323</v>
      </c>
      <c r="N15">
        <v>78</v>
      </c>
      <c r="O15">
        <v>14.54</v>
      </c>
      <c r="P15">
        <v>8.6</v>
      </c>
      <c r="Q15">
        <v>7</v>
      </c>
      <c r="R15">
        <v>2.3199999999999998</v>
      </c>
      <c r="S15">
        <v>0</v>
      </c>
      <c r="T15" t="b">
        <v>0</v>
      </c>
      <c r="U15" t="str">
        <f t="shared" si="0"/>
        <v>Normal Usage</v>
      </c>
      <c r="V15" t="str">
        <f t="shared" si="1"/>
        <v>Normal</v>
      </c>
      <c r="W15" t="str">
        <f t="shared" si="2"/>
        <v>Stable</v>
      </c>
      <c r="X15" t="str">
        <f t="shared" si="3"/>
        <v>Low</v>
      </c>
      <c r="Y15">
        <f t="shared" si="4"/>
        <v>128</v>
      </c>
    </row>
    <row r="16" spans="1:25">
      <c r="A16" t="s">
        <v>20</v>
      </c>
      <c r="B16">
        <v>155</v>
      </c>
      <c r="C16">
        <v>415</v>
      </c>
      <c r="D16" t="s">
        <v>21</v>
      </c>
      <c r="E16" t="s">
        <v>21</v>
      </c>
      <c r="F16">
        <v>0</v>
      </c>
      <c r="G16">
        <v>203.4</v>
      </c>
      <c r="H16">
        <v>100</v>
      </c>
      <c r="I16">
        <v>34.58</v>
      </c>
      <c r="J16">
        <v>190.9</v>
      </c>
      <c r="K16">
        <v>104</v>
      </c>
      <c r="L16">
        <v>16.23</v>
      </c>
      <c r="M16">
        <v>196</v>
      </c>
      <c r="N16">
        <v>119</v>
      </c>
      <c r="O16">
        <v>8.82</v>
      </c>
      <c r="P16">
        <v>8.9</v>
      </c>
      <c r="Q16">
        <v>4</v>
      </c>
      <c r="R16">
        <v>2.4</v>
      </c>
      <c r="S16">
        <v>0</v>
      </c>
      <c r="T16" t="b">
        <v>1</v>
      </c>
      <c r="U16" t="str">
        <f t="shared" si="0"/>
        <v>High Usage</v>
      </c>
      <c r="V16" t="str">
        <f t="shared" si="1"/>
        <v>Normal</v>
      </c>
      <c r="W16" t="str">
        <f t="shared" si="2"/>
        <v>Stable</v>
      </c>
      <c r="X16" t="str">
        <f t="shared" si="3"/>
        <v>Low</v>
      </c>
      <c r="Y16">
        <f t="shared" si="4"/>
        <v>155</v>
      </c>
    </row>
    <row r="17" spans="1:25">
      <c r="A17" t="s">
        <v>34</v>
      </c>
      <c r="B17">
        <v>73</v>
      </c>
      <c r="C17">
        <v>415</v>
      </c>
      <c r="D17" t="s">
        <v>21</v>
      </c>
      <c r="E17" t="s">
        <v>21</v>
      </c>
      <c r="F17">
        <v>0</v>
      </c>
      <c r="G17">
        <v>160.1</v>
      </c>
      <c r="H17">
        <v>110</v>
      </c>
      <c r="I17">
        <v>27.22</v>
      </c>
      <c r="J17">
        <v>213.3</v>
      </c>
      <c r="K17">
        <v>72</v>
      </c>
      <c r="L17">
        <v>18.13</v>
      </c>
      <c r="M17">
        <v>174.1</v>
      </c>
      <c r="N17">
        <v>72</v>
      </c>
      <c r="O17">
        <v>7.83</v>
      </c>
      <c r="P17">
        <v>13</v>
      </c>
      <c r="Q17">
        <v>4</v>
      </c>
      <c r="R17">
        <v>3.51</v>
      </c>
      <c r="S17">
        <v>0</v>
      </c>
      <c r="T17" t="b">
        <v>0</v>
      </c>
      <c r="U17" t="str">
        <f t="shared" si="0"/>
        <v>Normal Usage</v>
      </c>
      <c r="V17" t="str">
        <f t="shared" si="1"/>
        <v>Normal</v>
      </c>
      <c r="W17" t="str">
        <f t="shared" si="2"/>
        <v>Stable</v>
      </c>
      <c r="X17" t="str">
        <f t="shared" si="3"/>
        <v>Low</v>
      </c>
      <c r="Y17">
        <f t="shared" si="4"/>
        <v>73</v>
      </c>
    </row>
    <row r="18" spans="1:25">
      <c r="A18" t="s">
        <v>29</v>
      </c>
      <c r="B18">
        <v>77</v>
      </c>
      <c r="C18">
        <v>415</v>
      </c>
      <c r="D18" t="s">
        <v>21</v>
      </c>
      <c r="E18" t="s">
        <v>21</v>
      </c>
      <c r="F18">
        <v>0</v>
      </c>
      <c r="G18">
        <v>251.8</v>
      </c>
      <c r="H18">
        <v>72</v>
      </c>
      <c r="I18">
        <v>42.81</v>
      </c>
      <c r="J18">
        <v>205.7</v>
      </c>
      <c r="K18">
        <v>126</v>
      </c>
      <c r="L18">
        <v>17.48</v>
      </c>
      <c r="M18">
        <v>275.2</v>
      </c>
      <c r="N18">
        <v>109</v>
      </c>
      <c r="O18">
        <v>12.38</v>
      </c>
      <c r="P18">
        <v>9.8000000000000007</v>
      </c>
      <c r="Q18">
        <v>7</v>
      </c>
      <c r="R18">
        <v>2.65</v>
      </c>
      <c r="S18">
        <v>2</v>
      </c>
      <c r="T18" t="b">
        <v>1</v>
      </c>
      <c r="U18" t="str">
        <f t="shared" si="0"/>
        <v>High Usage</v>
      </c>
      <c r="V18" t="str">
        <f t="shared" si="1"/>
        <v>Normal</v>
      </c>
      <c r="W18" t="str">
        <f t="shared" si="2"/>
        <v>Potential Churn</v>
      </c>
      <c r="X18" t="str">
        <f t="shared" si="3"/>
        <v>Low</v>
      </c>
      <c r="Y18">
        <f t="shared" si="4"/>
        <v>77</v>
      </c>
    </row>
    <row r="19" spans="1:25">
      <c r="A19" t="s">
        <v>35</v>
      </c>
      <c r="B19">
        <v>108</v>
      </c>
      <c r="C19">
        <v>415</v>
      </c>
      <c r="D19" t="s">
        <v>21</v>
      </c>
      <c r="E19" t="s">
        <v>21</v>
      </c>
      <c r="F19">
        <v>0</v>
      </c>
      <c r="G19">
        <v>178.3</v>
      </c>
      <c r="H19">
        <v>137</v>
      </c>
      <c r="I19">
        <v>30.31</v>
      </c>
      <c r="J19">
        <v>189</v>
      </c>
      <c r="K19">
        <v>76</v>
      </c>
      <c r="L19">
        <v>16.07</v>
      </c>
      <c r="M19">
        <v>129.1</v>
      </c>
      <c r="N19">
        <v>102</v>
      </c>
      <c r="O19">
        <v>5.81</v>
      </c>
      <c r="P19">
        <v>14.6</v>
      </c>
      <c r="Q19">
        <v>5</v>
      </c>
      <c r="R19">
        <v>3.94</v>
      </c>
      <c r="S19">
        <v>0</v>
      </c>
      <c r="T19" t="b">
        <v>0</v>
      </c>
      <c r="U19" t="str">
        <f t="shared" si="0"/>
        <v>Normal Usage</v>
      </c>
      <c r="V19" t="str">
        <f t="shared" si="1"/>
        <v>Normal</v>
      </c>
      <c r="W19" t="str">
        <f t="shared" si="2"/>
        <v>Stable</v>
      </c>
      <c r="X19" t="str">
        <f t="shared" si="3"/>
        <v>Low</v>
      </c>
      <c r="Y19">
        <f t="shared" si="4"/>
        <v>108</v>
      </c>
    </row>
    <row r="20" spans="1:25">
      <c r="A20" t="s">
        <v>36</v>
      </c>
      <c r="B20">
        <v>95</v>
      </c>
      <c r="C20">
        <v>408</v>
      </c>
      <c r="D20" t="s">
        <v>21</v>
      </c>
      <c r="E20" t="s">
        <v>21</v>
      </c>
      <c r="F20">
        <v>0</v>
      </c>
      <c r="G20">
        <v>135</v>
      </c>
      <c r="H20">
        <v>99</v>
      </c>
      <c r="I20">
        <v>22.95</v>
      </c>
      <c r="J20">
        <v>183.6</v>
      </c>
      <c r="K20">
        <v>106</v>
      </c>
      <c r="L20">
        <v>15.61</v>
      </c>
      <c r="M20">
        <v>245.3</v>
      </c>
      <c r="N20">
        <v>102</v>
      </c>
      <c r="O20">
        <v>11.04</v>
      </c>
      <c r="P20">
        <v>12.5</v>
      </c>
      <c r="Q20">
        <v>9</v>
      </c>
      <c r="R20">
        <v>3.38</v>
      </c>
      <c r="S20">
        <v>1</v>
      </c>
      <c r="T20" t="b">
        <v>0</v>
      </c>
      <c r="U20" t="str">
        <f t="shared" si="0"/>
        <v>Normal Usage</v>
      </c>
      <c r="V20" t="str">
        <f t="shared" si="1"/>
        <v>Normal</v>
      </c>
      <c r="W20" t="str">
        <f t="shared" si="2"/>
        <v>Stable</v>
      </c>
      <c r="X20" t="str">
        <f t="shared" si="3"/>
        <v>Low</v>
      </c>
      <c r="Y20">
        <f t="shared" si="4"/>
        <v>95</v>
      </c>
    </row>
    <row r="21" spans="1:25">
      <c r="A21" t="s">
        <v>28</v>
      </c>
      <c r="B21">
        <v>36</v>
      </c>
      <c r="C21">
        <v>510</v>
      </c>
      <c r="D21" t="s">
        <v>21</v>
      </c>
      <c r="E21" t="s">
        <v>27</v>
      </c>
      <c r="F21">
        <v>29</v>
      </c>
      <c r="G21">
        <v>281.39999999999998</v>
      </c>
      <c r="H21">
        <v>102</v>
      </c>
      <c r="I21">
        <v>47.84</v>
      </c>
      <c r="J21">
        <v>202.2</v>
      </c>
      <c r="K21">
        <v>76</v>
      </c>
      <c r="L21">
        <v>17.190000000000001</v>
      </c>
      <c r="M21">
        <v>187.2</v>
      </c>
      <c r="N21">
        <v>113</v>
      </c>
      <c r="O21">
        <v>8.42</v>
      </c>
      <c r="P21">
        <v>9</v>
      </c>
      <c r="Q21">
        <v>6</v>
      </c>
      <c r="R21">
        <v>2.4300000000000002</v>
      </c>
      <c r="S21">
        <v>2</v>
      </c>
      <c r="T21" t="b">
        <v>0</v>
      </c>
      <c r="U21" t="str">
        <f t="shared" si="0"/>
        <v>High Usage</v>
      </c>
      <c r="V21" t="str">
        <f t="shared" si="1"/>
        <v>Normal</v>
      </c>
      <c r="W21" t="str">
        <f t="shared" si="2"/>
        <v>Potential Churn</v>
      </c>
      <c r="X21" t="str">
        <f t="shared" si="3"/>
        <v>Low</v>
      </c>
      <c r="Y21">
        <f t="shared" si="4"/>
        <v>36</v>
      </c>
    </row>
    <row r="22" spans="1:25">
      <c r="A22" t="s">
        <v>37</v>
      </c>
      <c r="B22">
        <v>141</v>
      </c>
      <c r="C22">
        <v>415</v>
      </c>
      <c r="D22" t="s">
        <v>21</v>
      </c>
      <c r="E22" t="s">
        <v>27</v>
      </c>
      <c r="F22">
        <v>32</v>
      </c>
      <c r="G22">
        <v>148.6</v>
      </c>
      <c r="H22">
        <v>91</v>
      </c>
      <c r="I22">
        <v>25.26</v>
      </c>
      <c r="J22">
        <v>131.1</v>
      </c>
      <c r="K22">
        <v>97</v>
      </c>
      <c r="L22">
        <v>11.14</v>
      </c>
      <c r="M22">
        <v>219.4</v>
      </c>
      <c r="N22">
        <v>142</v>
      </c>
      <c r="O22">
        <v>9.8699999999999992</v>
      </c>
      <c r="P22">
        <v>10.1</v>
      </c>
      <c r="Q22">
        <v>1</v>
      </c>
      <c r="R22">
        <v>2.73</v>
      </c>
      <c r="S22">
        <v>1</v>
      </c>
      <c r="T22" t="b">
        <v>0</v>
      </c>
      <c r="U22" t="str">
        <f t="shared" si="0"/>
        <v>Normal Usage</v>
      </c>
      <c r="V22" t="str">
        <f t="shared" si="1"/>
        <v>Normal</v>
      </c>
      <c r="W22" t="str">
        <f t="shared" si="2"/>
        <v>Stable</v>
      </c>
      <c r="X22" t="str">
        <f t="shared" si="3"/>
        <v>Low</v>
      </c>
      <c r="Y22">
        <f t="shared" si="4"/>
        <v>141</v>
      </c>
    </row>
    <row r="23" spans="1:25">
      <c r="A23" t="s">
        <v>38</v>
      </c>
      <c r="B23">
        <v>63</v>
      </c>
      <c r="C23">
        <v>415</v>
      </c>
      <c r="D23" t="s">
        <v>21</v>
      </c>
      <c r="E23" t="s">
        <v>21</v>
      </c>
      <c r="F23">
        <v>0</v>
      </c>
      <c r="G23">
        <v>58.9</v>
      </c>
      <c r="H23">
        <v>125</v>
      </c>
      <c r="I23">
        <v>10.01</v>
      </c>
      <c r="J23">
        <v>169.6</v>
      </c>
      <c r="K23">
        <v>59</v>
      </c>
      <c r="L23">
        <v>14.42</v>
      </c>
      <c r="M23">
        <v>211.4</v>
      </c>
      <c r="N23">
        <v>88</v>
      </c>
      <c r="O23">
        <v>9.51</v>
      </c>
      <c r="P23">
        <v>9.4</v>
      </c>
      <c r="Q23">
        <v>3</v>
      </c>
      <c r="R23">
        <v>2.54</v>
      </c>
      <c r="S23">
        <v>1</v>
      </c>
      <c r="T23" t="b">
        <v>0</v>
      </c>
      <c r="U23" t="str">
        <f t="shared" si="0"/>
        <v>Normal Usage</v>
      </c>
      <c r="V23" t="str">
        <f t="shared" si="1"/>
        <v>Normal</v>
      </c>
      <c r="W23" t="str">
        <f t="shared" si="2"/>
        <v>Stable</v>
      </c>
      <c r="X23" t="str">
        <f t="shared" si="3"/>
        <v>Low</v>
      </c>
      <c r="Y23">
        <f t="shared" si="4"/>
        <v>63</v>
      </c>
    </row>
    <row r="24" spans="1:25">
      <c r="A24" t="s">
        <v>29</v>
      </c>
      <c r="B24">
        <v>97</v>
      </c>
      <c r="C24">
        <v>408</v>
      </c>
      <c r="D24" t="s">
        <v>21</v>
      </c>
      <c r="E24" t="s">
        <v>21</v>
      </c>
      <c r="F24">
        <v>0</v>
      </c>
      <c r="G24">
        <v>239.8</v>
      </c>
      <c r="H24">
        <v>125</v>
      </c>
      <c r="I24">
        <v>40.770000000000003</v>
      </c>
      <c r="J24">
        <v>214.8</v>
      </c>
      <c r="K24">
        <v>111</v>
      </c>
      <c r="L24">
        <v>18.260000000000002</v>
      </c>
      <c r="M24">
        <v>143.30000000000001</v>
      </c>
      <c r="N24">
        <v>81</v>
      </c>
      <c r="O24">
        <v>6.45</v>
      </c>
      <c r="P24">
        <v>8.6999999999999993</v>
      </c>
      <c r="Q24">
        <v>5</v>
      </c>
      <c r="R24">
        <v>2.35</v>
      </c>
      <c r="S24">
        <v>2</v>
      </c>
      <c r="T24" t="b">
        <v>0</v>
      </c>
      <c r="U24" t="str">
        <f t="shared" si="0"/>
        <v>High Usage</v>
      </c>
      <c r="V24" t="str">
        <f t="shared" si="1"/>
        <v>Normal</v>
      </c>
      <c r="W24" t="str">
        <f t="shared" si="2"/>
        <v>Stable</v>
      </c>
      <c r="X24" t="str">
        <f t="shared" si="3"/>
        <v>Low</v>
      </c>
      <c r="Y24">
        <f t="shared" si="4"/>
        <v>97</v>
      </c>
    </row>
    <row r="25" spans="1:25">
      <c r="A25" t="s">
        <v>39</v>
      </c>
      <c r="B25">
        <v>75</v>
      </c>
      <c r="C25">
        <v>408</v>
      </c>
      <c r="D25" t="s">
        <v>21</v>
      </c>
      <c r="E25" t="s">
        <v>21</v>
      </c>
      <c r="F25">
        <v>0</v>
      </c>
      <c r="G25">
        <v>166.3</v>
      </c>
      <c r="H25">
        <v>125</v>
      </c>
      <c r="I25">
        <v>28.27</v>
      </c>
      <c r="J25">
        <v>158.19999999999999</v>
      </c>
      <c r="K25">
        <v>86</v>
      </c>
      <c r="L25">
        <v>13.45</v>
      </c>
      <c r="M25">
        <v>256.7</v>
      </c>
      <c r="N25">
        <v>80</v>
      </c>
      <c r="O25">
        <v>11.55</v>
      </c>
      <c r="P25">
        <v>6.1</v>
      </c>
      <c r="Q25">
        <v>5</v>
      </c>
      <c r="R25">
        <v>1.65</v>
      </c>
      <c r="S25">
        <v>1</v>
      </c>
      <c r="T25" t="b">
        <v>0</v>
      </c>
      <c r="U25" t="str">
        <f t="shared" si="0"/>
        <v>Normal Usage</v>
      </c>
      <c r="V25" t="str">
        <f t="shared" si="1"/>
        <v>Normal</v>
      </c>
      <c r="W25" t="str">
        <f t="shared" si="2"/>
        <v>Stable</v>
      </c>
      <c r="X25" t="str">
        <f t="shared" si="3"/>
        <v>Low</v>
      </c>
      <c r="Y25">
        <f t="shared" si="4"/>
        <v>75</v>
      </c>
    </row>
    <row r="26" spans="1:25">
      <c r="A26" t="s">
        <v>40</v>
      </c>
      <c r="B26">
        <v>127</v>
      </c>
      <c r="C26">
        <v>408</v>
      </c>
      <c r="D26" t="s">
        <v>21</v>
      </c>
      <c r="E26" t="s">
        <v>21</v>
      </c>
      <c r="F26">
        <v>0</v>
      </c>
      <c r="G26">
        <v>146.69999999999999</v>
      </c>
      <c r="H26">
        <v>91</v>
      </c>
      <c r="I26">
        <v>24.94</v>
      </c>
      <c r="J26">
        <v>203.5</v>
      </c>
      <c r="K26">
        <v>78</v>
      </c>
      <c r="L26">
        <v>17.3</v>
      </c>
      <c r="M26">
        <v>203.4</v>
      </c>
      <c r="N26">
        <v>110</v>
      </c>
      <c r="O26">
        <v>9.15</v>
      </c>
      <c r="P26">
        <v>13.7</v>
      </c>
      <c r="Q26">
        <v>3</v>
      </c>
      <c r="R26">
        <v>3.7</v>
      </c>
      <c r="S26">
        <v>1</v>
      </c>
      <c r="T26" t="b">
        <v>0</v>
      </c>
      <c r="U26" t="str">
        <f t="shared" si="0"/>
        <v>Normal Usage</v>
      </c>
      <c r="V26" t="str">
        <f t="shared" si="1"/>
        <v>Normal</v>
      </c>
      <c r="W26" t="str">
        <f t="shared" si="2"/>
        <v>Stable</v>
      </c>
      <c r="X26" t="str">
        <f t="shared" si="3"/>
        <v>Low</v>
      </c>
      <c r="Y26">
        <f t="shared" si="4"/>
        <v>127</v>
      </c>
    </row>
    <row r="27" spans="1:25">
      <c r="A27" t="s">
        <v>20</v>
      </c>
      <c r="B27">
        <v>121</v>
      </c>
      <c r="C27">
        <v>408</v>
      </c>
      <c r="D27" t="s">
        <v>21</v>
      </c>
      <c r="E27" t="s">
        <v>21</v>
      </c>
      <c r="F27">
        <v>0</v>
      </c>
      <c r="G27">
        <v>181.5</v>
      </c>
      <c r="H27">
        <v>121</v>
      </c>
      <c r="I27">
        <v>30.86</v>
      </c>
      <c r="J27">
        <v>218.4</v>
      </c>
      <c r="K27">
        <v>98</v>
      </c>
      <c r="L27">
        <v>18.559999999999999</v>
      </c>
      <c r="M27">
        <v>161.6</v>
      </c>
      <c r="N27">
        <v>103</v>
      </c>
      <c r="O27">
        <v>7.27</v>
      </c>
      <c r="P27">
        <v>8.5</v>
      </c>
      <c r="Q27">
        <v>5</v>
      </c>
      <c r="R27">
        <v>2.2999999999999998</v>
      </c>
      <c r="S27">
        <v>1</v>
      </c>
      <c r="T27" t="b">
        <v>0</v>
      </c>
      <c r="U27" t="str">
        <f t="shared" si="0"/>
        <v>Normal Usage</v>
      </c>
      <c r="V27" t="str">
        <f t="shared" si="1"/>
        <v>Normal</v>
      </c>
      <c r="W27" t="str">
        <f t="shared" si="2"/>
        <v>Stable</v>
      </c>
      <c r="X27" t="str">
        <f t="shared" si="3"/>
        <v>Low</v>
      </c>
      <c r="Y27">
        <f t="shared" si="4"/>
        <v>121</v>
      </c>
    </row>
    <row r="28" spans="1:25">
      <c r="A28" t="s">
        <v>41</v>
      </c>
      <c r="B28">
        <v>117</v>
      </c>
      <c r="C28">
        <v>415</v>
      </c>
      <c r="D28" t="s">
        <v>21</v>
      </c>
      <c r="E28" t="s">
        <v>21</v>
      </c>
      <c r="F28">
        <v>0</v>
      </c>
      <c r="G28">
        <v>102.8</v>
      </c>
      <c r="H28">
        <v>119</v>
      </c>
      <c r="I28">
        <v>17.48</v>
      </c>
      <c r="J28">
        <v>206.7</v>
      </c>
      <c r="K28">
        <v>91</v>
      </c>
      <c r="L28">
        <v>17.57</v>
      </c>
      <c r="M28">
        <v>299</v>
      </c>
      <c r="N28">
        <v>105</v>
      </c>
      <c r="O28">
        <v>13.46</v>
      </c>
      <c r="P28">
        <v>10.1</v>
      </c>
      <c r="Q28">
        <v>7</v>
      </c>
      <c r="R28">
        <v>2.73</v>
      </c>
      <c r="S28">
        <v>1</v>
      </c>
      <c r="T28" t="b">
        <v>0</v>
      </c>
      <c r="U28" t="str">
        <f t="shared" si="0"/>
        <v>Normal Usage</v>
      </c>
      <c r="V28" t="str">
        <f t="shared" si="1"/>
        <v>Normal</v>
      </c>
      <c r="W28" t="str">
        <f t="shared" si="2"/>
        <v>Stable</v>
      </c>
      <c r="X28" t="str">
        <f t="shared" si="3"/>
        <v>Low</v>
      </c>
      <c r="Y28">
        <f t="shared" si="4"/>
        <v>117</v>
      </c>
    </row>
    <row r="29" spans="1:25">
      <c r="A29" t="s">
        <v>42</v>
      </c>
      <c r="B29">
        <v>65</v>
      </c>
      <c r="C29">
        <v>408</v>
      </c>
      <c r="D29" t="s">
        <v>21</v>
      </c>
      <c r="E29" t="s">
        <v>21</v>
      </c>
      <c r="F29">
        <v>0</v>
      </c>
      <c r="G29">
        <v>187.9</v>
      </c>
      <c r="H29">
        <v>116</v>
      </c>
      <c r="I29">
        <v>31.94</v>
      </c>
      <c r="J29">
        <v>157.6</v>
      </c>
      <c r="K29">
        <v>117</v>
      </c>
      <c r="L29">
        <v>13.4</v>
      </c>
      <c r="M29">
        <v>227.3</v>
      </c>
      <c r="N29">
        <v>86</v>
      </c>
      <c r="O29">
        <v>10.23</v>
      </c>
      <c r="P29">
        <v>7.5</v>
      </c>
      <c r="Q29">
        <v>6</v>
      </c>
      <c r="R29">
        <v>2.0299999999999998</v>
      </c>
      <c r="S29">
        <v>1</v>
      </c>
      <c r="T29" t="b">
        <v>0</v>
      </c>
      <c r="U29" t="str">
        <f t="shared" si="0"/>
        <v>Normal Usage</v>
      </c>
      <c r="V29" t="str">
        <f t="shared" si="1"/>
        <v>Normal</v>
      </c>
      <c r="W29" t="str">
        <f t="shared" si="2"/>
        <v>Stable</v>
      </c>
      <c r="X29" t="str">
        <f t="shared" si="3"/>
        <v>Low</v>
      </c>
      <c r="Y29">
        <f t="shared" si="4"/>
        <v>65</v>
      </c>
    </row>
    <row r="30" spans="1:25">
      <c r="A30" t="s">
        <v>43</v>
      </c>
      <c r="B30">
        <v>6</v>
      </c>
      <c r="C30">
        <v>510</v>
      </c>
      <c r="D30" t="s">
        <v>21</v>
      </c>
      <c r="E30" t="s">
        <v>21</v>
      </c>
      <c r="F30">
        <v>0</v>
      </c>
      <c r="G30">
        <v>183.6</v>
      </c>
      <c r="H30">
        <v>117</v>
      </c>
      <c r="I30">
        <v>31.21</v>
      </c>
      <c r="J30">
        <v>256.7</v>
      </c>
      <c r="K30">
        <v>72</v>
      </c>
      <c r="L30">
        <v>21.82</v>
      </c>
      <c r="M30">
        <v>178.6</v>
      </c>
      <c r="N30">
        <v>79</v>
      </c>
      <c r="O30">
        <v>8.0399999999999991</v>
      </c>
      <c r="P30">
        <v>10.199999999999999</v>
      </c>
      <c r="Q30">
        <v>2</v>
      </c>
      <c r="R30">
        <v>2.75</v>
      </c>
      <c r="S30">
        <v>1</v>
      </c>
      <c r="T30" t="b">
        <v>0</v>
      </c>
      <c r="U30" t="str">
        <f t="shared" si="0"/>
        <v>Normal Usage</v>
      </c>
      <c r="V30" t="str">
        <f t="shared" si="1"/>
        <v>Normal</v>
      </c>
      <c r="W30" t="str">
        <f t="shared" si="2"/>
        <v>Stable</v>
      </c>
      <c r="X30" t="str">
        <f t="shared" si="3"/>
        <v>Low</v>
      </c>
      <c r="Y30">
        <f t="shared" si="4"/>
        <v>6</v>
      </c>
    </row>
    <row r="31" spans="1:25">
      <c r="A31" t="s">
        <v>44</v>
      </c>
      <c r="B31">
        <v>32</v>
      </c>
      <c r="C31">
        <v>510</v>
      </c>
      <c r="D31" t="s">
        <v>21</v>
      </c>
      <c r="E31" t="s">
        <v>21</v>
      </c>
      <c r="F31">
        <v>0</v>
      </c>
      <c r="G31">
        <v>230.9</v>
      </c>
      <c r="H31">
        <v>87</v>
      </c>
      <c r="I31">
        <v>39.25</v>
      </c>
      <c r="J31">
        <v>187.4</v>
      </c>
      <c r="K31">
        <v>90</v>
      </c>
      <c r="L31">
        <v>15.93</v>
      </c>
      <c r="M31">
        <v>154</v>
      </c>
      <c r="N31">
        <v>53</v>
      </c>
      <c r="O31">
        <v>6.93</v>
      </c>
      <c r="P31">
        <v>6.3</v>
      </c>
      <c r="Q31">
        <v>2</v>
      </c>
      <c r="R31">
        <v>1.7</v>
      </c>
      <c r="S31">
        <v>0</v>
      </c>
      <c r="T31" t="b">
        <v>0</v>
      </c>
      <c r="U31" t="str">
        <f t="shared" si="0"/>
        <v>High Usage</v>
      </c>
      <c r="V31" t="str">
        <f t="shared" si="1"/>
        <v>Normal</v>
      </c>
      <c r="W31" t="str">
        <f t="shared" si="2"/>
        <v>Stable</v>
      </c>
      <c r="X31" t="str">
        <f t="shared" si="3"/>
        <v>Low</v>
      </c>
      <c r="Y31">
        <f t="shared" si="4"/>
        <v>32</v>
      </c>
    </row>
    <row r="32" spans="1:25">
      <c r="A32" t="s">
        <v>45</v>
      </c>
      <c r="B32">
        <v>64</v>
      </c>
      <c r="C32">
        <v>408</v>
      </c>
      <c r="D32" t="s">
        <v>21</v>
      </c>
      <c r="E32" t="s">
        <v>27</v>
      </c>
      <c r="F32">
        <v>27</v>
      </c>
      <c r="G32">
        <v>182.1</v>
      </c>
      <c r="H32">
        <v>91</v>
      </c>
      <c r="I32">
        <v>30.96</v>
      </c>
      <c r="J32">
        <v>169.7</v>
      </c>
      <c r="K32">
        <v>98</v>
      </c>
      <c r="L32">
        <v>14.42</v>
      </c>
      <c r="M32">
        <v>164.7</v>
      </c>
      <c r="N32">
        <v>86</v>
      </c>
      <c r="O32">
        <v>7.41</v>
      </c>
      <c r="P32">
        <v>10.6</v>
      </c>
      <c r="Q32">
        <v>5</v>
      </c>
      <c r="R32">
        <v>2.86</v>
      </c>
      <c r="S32">
        <v>2</v>
      </c>
      <c r="T32" t="b">
        <v>0</v>
      </c>
      <c r="U32" t="str">
        <f t="shared" si="0"/>
        <v>Normal Usage</v>
      </c>
      <c r="V32" t="str">
        <f t="shared" si="1"/>
        <v>Normal</v>
      </c>
      <c r="W32" t="str">
        <f t="shared" si="2"/>
        <v>Stable</v>
      </c>
      <c r="X32" t="str">
        <f t="shared" si="3"/>
        <v>Low</v>
      </c>
      <c r="Y32">
        <f t="shared" si="4"/>
        <v>64</v>
      </c>
    </row>
    <row r="33" spans="1:25">
      <c r="A33" t="s">
        <v>46</v>
      </c>
      <c r="B33">
        <v>25</v>
      </c>
      <c r="C33">
        <v>415</v>
      </c>
      <c r="D33" t="s">
        <v>21</v>
      </c>
      <c r="E33" t="s">
        <v>21</v>
      </c>
      <c r="F33">
        <v>0</v>
      </c>
      <c r="G33">
        <v>119.3</v>
      </c>
      <c r="H33">
        <v>87</v>
      </c>
      <c r="I33">
        <v>20.28</v>
      </c>
      <c r="J33">
        <v>211.5</v>
      </c>
      <c r="K33">
        <v>101</v>
      </c>
      <c r="L33">
        <v>17.98</v>
      </c>
      <c r="M33">
        <v>268.89999999999998</v>
      </c>
      <c r="N33">
        <v>86</v>
      </c>
      <c r="O33">
        <v>12.1</v>
      </c>
      <c r="P33">
        <v>10.5</v>
      </c>
      <c r="Q33">
        <v>4</v>
      </c>
      <c r="R33">
        <v>2.84</v>
      </c>
      <c r="S33">
        <v>3</v>
      </c>
      <c r="T33" t="b">
        <v>0</v>
      </c>
      <c r="U33" t="str">
        <f t="shared" si="0"/>
        <v>Normal Usage</v>
      </c>
      <c r="V33" t="str">
        <f t="shared" si="1"/>
        <v>Normal</v>
      </c>
      <c r="W33" t="str">
        <f t="shared" si="2"/>
        <v>Stable</v>
      </c>
      <c r="X33" t="str">
        <f t="shared" si="3"/>
        <v>Medium</v>
      </c>
      <c r="Y33">
        <f t="shared" si="4"/>
        <v>25</v>
      </c>
    </row>
    <row r="34" spans="1:25">
      <c r="A34" t="s">
        <v>47</v>
      </c>
      <c r="B34">
        <v>65</v>
      </c>
      <c r="C34">
        <v>415</v>
      </c>
      <c r="D34" t="s">
        <v>21</v>
      </c>
      <c r="E34" t="s">
        <v>21</v>
      </c>
      <c r="F34">
        <v>0</v>
      </c>
      <c r="G34">
        <v>116.8</v>
      </c>
      <c r="H34">
        <v>87</v>
      </c>
      <c r="I34">
        <v>19.86</v>
      </c>
      <c r="J34">
        <v>178.9</v>
      </c>
      <c r="K34">
        <v>93</v>
      </c>
      <c r="L34">
        <v>15.21</v>
      </c>
      <c r="M34">
        <v>182.4</v>
      </c>
      <c r="N34">
        <v>150</v>
      </c>
      <c r="O34">
        <v>8.2100000000000009</v>
      </c>
      <c r="P34">
        <v>14.1</v>
      </c>
      <c r="Q34">
        <v>2</v>
      </c>
      <c r="R34">
        <v>3.81</v>
      </c>
      <c r="S34">
        <v>1</v>
      </c>
      <c r="T34" t="b">
        <v>0</v>
      </c>
      <c r="U34" t="str">
        <f t="shared" si="0"/>
        <v>Normal Usage</v>
      </c>
      <c r="V34" t="str">
        <f t="shared" si="1"/>
        <v>Normal</v>
      </c>
      <c r="W34" t="str">
        <f t="shared" si="2"/>
        <v>Stable</v>
      </c>
      <c r="X34" t="str">
        <f t="shared" si="3"/>
        <v>Low</v>
      </c>
      <c r="Y34">
        <f t="shared" si="4"/>
        <v>65</v>
      </c>
    </row>
    <row r="35" spans="1:25">
      <c r="A35" t="s">
        <v>28</v>
      </c>
      <c r="B35">
        <v>127</v>
      </c>
      <c r="C35">
        <v>415</v>
      </c>
      <c r="D35" t="s">
        <v>21</v>
      </c>
      <c r="E35" t="s">
        <v>21</v>
      </c>
      <c r="F35">
        <v>0</v>
      </c>
      <c r="G35">
        <v>202.1</v>
      </c>
      <c r="H35">
        <v>103</v>
      </c>
      <c r="I35">
        <v>34.36</v>
      </c>
      <c r="J35">
        <v>229.4</v>
      </c>
      <c r="K35">
        <v>86</v>
      </c>
      <c r="L35">
        <v>19.5</v>
      </c>
      <c r="M35">
        <v>195.2</v>
      </c>
      <c r="N35">
        <v>113</v>
      </c>
      <c r="O35">
        <v>8.7799999999999994</v>
      </c>
      <c r="P35">
        <v>11.5</v>
      </c>
      <c r="Q35">
        <v>3</v>
      </c>
      <c r="R35">
        <v>3.11</v>
      </c>
      <c r="S35">
        <v>2</v>
      </c>
      <c r="T35" t="b">
        <v>0</v>
      </c>
      <c r="U35" t="str">
        <f t="shared" si="0"/>
        <v>High Usage</v>
      </c>
      <c r="V35" t="str">
        <f t="shared" si="1"/>
        <v>Normal</v>
      </c>
      <c r="W35" t="str">
        <f t="shared" si="2"/>
        <v>Stable</v>
      </c>
      <c r="X35" t="str">
        <f t="shared" si="3"/>
        <v>Low</v>
      </c>
      <c r="Y35">
        <f t="shared" si="4"/>
        <v>127</v>
      </c>
    </row>
    <row r="36" spans="1:25">
      <c r="A36" t="s">
        <v>38</v>
      </c>
      <c r="B36">
        <v>93</v>
      </c>
      <c r="C36">
        <v>415</v>
      </c>
      <c r="D36" t="s">
        <v>21</v>
      </c>
      <c r="E36" t="s">
        <v>21</v>
      </c>
      <c r="F36">
        <v>0</v>
      </c>
      <c r="G36">
        <v>271.60000000000002</v>
      </c>
      <c r="H36">
        <v>71</v>
      </c>
      <c r="I36">
        <v>46.17</v>
      </c>
      <c r="J36">
        <v>229.4</v>
      </c>
      <c r="K36">
        <v>108</v>
      </c>
      <c r="L36">
        <v>19.5</v>
      </c>
      <c r="M36">
        <v>77.3</v>
      </c>
      <c r="N36">
        <v>121</v>
      </c>
      <c r="O36">
        <v>3.48</v>
      </c>
      <c r="P36">
        <v>10.9</v>
      </c>
      <c r="Q36">
        <v>3</v>
      </c>
      <c r="R36">
        <v>2.94</v>
      </c>
      <c r="S36">
        <v>2</v>
      </c>
      <c r="T36" t="b">
        <v>0</v>
      </c>
      <c r="U36" t="str">
        <f t="shared" si="0"/>
        <v>High Usage</v>
      </c>
      <c r="V36" t="str">
        <f t="shared" si="1"/>
        <v>Normal</v>
      </c>
      <c r="W36" t="str">
        <f t="shared" si="2"/>
        <v>Potential Churn</v>
      </c>
      <c r="X36" t="str">
        <f t="shared" si="3"/>
        <v>Low</v>
      </c>
      <c r="Y36">
        <f t="shared" si="4"/>
        <v>93</v>
      </c>
    </row>
    <row r="37" spans="1:25">
      <c r="A37" t="s">
        <v>48</v>
      </c>
      <c r="B37">
        <v>208</v>
      </c>
      <c r="C37">
        <v>510</v>
      </c>
      <c r="D37" t="s">
        <v>21</v>
      </c>
      <c r="E37" t="s">
        <v>21</v>
      </c>
      <c r="F37">
        <v>0</v>
      </c>
      <c r="G37">
        <v>326.5</v>
      </c>
      <c r="H37">
        <v>67</v>
      </c>
      <c r="I37">
        <v>55.51</v>
      </c>
      <c r="J37">
        <v>176.3</v>
      </c>
      <c r="K37">
        <v>113</v>
      </c>
      <c r="L37">
        <v>14.99</v>
      </c>
      <c r="M37">
        <v>181.7</v>
      </c>
      <c r="N37">
        <v>102</v>
      </c>
      <c r="O37">
        <v>8.18</v>
      </c>
      <c r="P37">
        <v>10.7</v>
      </c>
      <c r="Q37">
        <v>6</v>
      </c>
      <c r="R37">
        <v>2.89</v>
      </c>
      <c r="S37">
        <v>2</v>
      </c>
      <c r="T37" t="b">
        <v>1</v>
      </c>
      <c r="U37" t="str">
        <f t="shared" si="0"/>
        <v>High Usage</v>
      </c>
      <c r="V37" t="str">
        <f t="shared" si="1"/>
        <v>Normal</v>
      </c>
      <c r="W37" t="str">
        <f t="shared" si="2"/>
        <v>Potential Churn</v>
      </c>
      <c r="X37" t="str">
        <f t="shared" si="3"/>
        <v>Low</v>
      </c>
      <c r="Y37">
        <f t="shared" si="4"/>
        <v>208</v>
      </c>
    </row>
    <row r="38" spans="1:25">
      <c r="A38" t="s">
        <v>22</v>
      </c>
      <c r="B38">
        <v>122</v>
      </c>
      <c r="C38">
        <v>415</v>
      </c>
      <c r="D38" t="s">
        <v>21</v>
      </c>
      <c r="E38" t="s">
        <v>21</v>
      </c>
      <c r="F38">
        <v>0</v>
      </c>
      <c r="G38">
        <v>243.8</v>
      </c>
      <c r="H38">
        <v>98</v>
      </c>
      <c r="I38">
        <v>41.45</v>
      </c>
      <c r="J38">
        <v>83.9</v>
      </c>
      <c r="K38">
        <v>72</v>
      </c>
      <c r="L38">
        <v>7.13</v>
      </c>
      <c r="M38">
        <v>179.8</v>
      </c>
      <c r="N38">
        <v>84</v>
      </c>
      <c r="O38">
        <v>8.09</v>
      </c>
      <c r="P38">
        <v>13.7</v>
      </c>
      <c r="Q38">
        <v>8</v>
      </c>
      <c r="R38">
        <v>3.7</v>
      </c>
      <c r="S38">
        <v>2</v>
      </c>
      <c r="T38" t="b">
        <v>0</v>
      </c>
      <c r="U38" t="str">
        <f t="shared" si="0"/>
        <v>High Usage</v>
      </c>
      <c r="V38" t="str">
        <f t="shared" si="1"/>
        <v>Normal</v>
      </c>
      <c r="W38" t="str">
        <f t="shared" si="2"/>
        <v>Stable</v>
      </c>
      <c r="X38" t="str">
        <f t="shared" si="3"/>
        <v>Low</v>
      </c>
      <c r="Y38">
        <f t="shared" si="4"/>
        <v>122</v>
      </c>
    </row>
    <row r="39" spans="1:25">
      <c r="A39" t="s">
        <v>20</v>
      </c>
      <c r="B39">
        <v>99</v>
      </c>
      <c r="C39">
        <v>415</v>
      </c>
      <c r="D39" t="s">
        <v>21</v>
      </c>
      <c r="E39" t="s">
        <v>21</v>
      </c>
      <c r="F39">
        <v>0</v>
      </c>
      <c r="G39">
        <v>241.1</v>
      </c>
      <c r="H39">
        <v>72</v>
      </c>
      <c r="I39">
        <v>40.99</v>
      </c>
      <c r="J39">
        <v>155.6</v>
      </c>
      <c r="K39">
        <v>98</v>
      </c>
      <c r="L39">
        <v>13.23</v>
      </c>
      <c r="M39">
        <v>188.2</v>
      </c>
      <c r="N39">
        <v>109</v>
      </c>
      <c r="O39">
        <v>8.4700000000000006</v>
      </c>
      <c r="P39">
        <v>11.6</v>
      </c>
      <c r="Q39">
        <v>10</v>
      </c>
      <c r="R39">
        <v>3.13</v>
      </c>
      <c r="S39">
        <v>1</v>
      </c>
      <c r="T39" t="b">
        <v>0</v>
      </c>
      <c r="U39" t="str">
        <f t="shared" si="0"/>
        <v>High Usage</v>
      </c>
      <c r="V39" t="str">
        <f t="shared" si="1"/>
        <v>Normal</v>
      </c>
      <c r="W39" t="str">
        <f t="shared" si="2"/>
        <v>Stable</v>
      </c>
      <c r="X39" t="str">
        <f t="shared" si="3"/>
        <v>Low</v>
      </c>
      <c r="Y39">
        <f t="shared" si="4"/>
        <v>99</v>
      </c>
    </row>
    <row r="40" spans="1:25">
      <c r="A40" t="s">
        <v>49</v>
      </c>
      <c r="B40">
        <v>65</v>
      </c>
      <c r="C40">
        <v>415</v>
      </c>
      <c r="D40" t="s">
        <v>21</v>
      </c>
      <c r="E40" t="s">
        <v>21</v>
      </c>
      <c r="F40">
        <v>0</v>
      </c>
      <c r="G40">
        <v>136.1</v>
      </c>
      <c r="H40">
        <v>112</v>
      </c>
      <c r="I40">
        <v>23.14</v>
      </c>
      <c r="J40">
        <v>272.89999999999998</v>
      </c>
      <c r="K40">
        <v>96</v>
      </c>
      <c r="L40">
        <v>23.2</v>
      </c>
      <c r="M40">
        <v>220.2</v>
      </c>
      <c r="N40">
        <v>104</v>
      </c>
      <c r="O40">
        <v>9.91</v>
      </c>
      <c r="P40">
        <v>4.4000000000000004</v>
      </c>
      <c r="Q40">
        <v>2</v>
      </c>
      <c r="R40">
        <v>1.19</v>
      </c>
      <c r="S40">
        <v>1</v>
      </c>
      <c r="T40" t="b">
        <v>0</v>
      </c>
      <c r="U40" t="str">
        <f t="shared" si="0"/>
        <v>Normal Usage</v>
      </c>
      <c r="V40" t="str">
        <f t="shared" si="1"/>
        <v>Normal</v>
      </c>
      <c r="W40" t="str">
        <f t="shared" si="2"/>
        <v>Stable</v>
      </c>
      <c r="X40" t="str">
        <f t="shared" si="3"/>
        <v>Low</v>
      </c>
      <c r="Y40">
        <f t="shared" si="4"/>
        <v>65</v>
      </c>
    </row>
    <row r="41" spans="1:25">
      <c r="A41" t="s">
        <v>22</v>
      </c>
      <c r="B41">
        <v>65</v>
      </c>
      <c r="C41">
        <v>415</v>
      </c>
      <c r="D41" t="s">
        <v>21</v>
      </c>
      <c r="E41" t="s">
        <v>21</v>
      </c>
      <c r="F41">
        <v>0</v>
      </c>
      <c r="G41">
        <v>213.4</v>
      </c>
      <c r="H41">
        <v>111</v>
      </c>
      <c r="I41">
        <v>36.28</v>
      </c>
      <c r="J41">
        <v>234.5</v>
      </c>
      <c r="K41">
        <v>94</v>
      </c>
      <c r="L41">
        <v>19.93</v>
      </c>
      <c r="M41">
        <v>250.1</v>
      </c>
      <c r="N41">
        <v>123</v>
      </c>
      <c r="O41">
        <v>11.25</v>
      </c>
      <c r="P41">
        <v>2.7</v>
      </c>
      <c r="Q41">
        <v>4</v>
      </c>
      <c r="R41">
        <v>0.73</v>
      </c>
      <c r="S41">
        <v>1</v>
      </c>
      <c r="T41" t="b">
        <v>0</v>
      </c>
      <c r="U41" t="str">
        <f t="shared" si="0"/>
        <v>High Usage</v>
      </c>
      <c r="V41" t="str">
        <f t="shared" si="1"/>
        <v>Normal</v>
      </c>
      <c r="W41" t="str">
        <f t="shared" si="2"/>
        <v>Stable</v>
      </c>
      <c r="X41" t="str">
        <f t="shared" si="3"/>
        <v>Low</v>
      </c>
      <c r="Y41">
        <f t="shared" si="4"/>
        <v>65</v>
      </c>
    </row>
    <row r="42" spans="1:25">
      <c r="A42" t="s">
        <v>36</v>
      </c>
      <c r="B42">
        <v>45</v>
      </c>
      <c r="C42">
        <v>415</v>
      </c>
      <c r="D42" t="s">
        <v>21</v>
      </c>
      <c r="E42" t="s">
        <v>27</v>
      </c>
      <c r="F42">
        <v>22</v>
      </c>
      <c r="G42">
        <v>196.6</v>
      </c>
      <c r="H42">
        <v>84</v>
      </c>
      <c r="I42">
        <v>33.42</v>
      </c>
      <c r="J42">
        <v>313.2</v>
      </c>
      <c r="K42">
        <v>92</v>
      </c>
      <c r="L42">
        <v>26.62</v>
      </c>
      <c r="M42">
        <v>163.30000000000001</v>
      </c>
      <c r="N42">
        <v>108</v>
      </c>
      <c r="O42">
        <v>7.35</v>
      </c>
      <c r="P42">
        <v>11.9</v>
      </c>
      <c r="Q42">
        <v>3</v>
      </c>
      <c r="R42">
        <v>3.21</v>
      </c>
      <c r="S42">
        <v>0</v>
      </c>
      <c r="T42" t="b">
        <v>0</v>
      </c>
      <c r="U42" t="str">
        <f t="shared" si="0"/>
        <v>Normal Usage</v>
      </c>
      <c r="V42" t="str">
        <f t="shared" si="1"/>
        <v>Normal</v>
      </c>
      <c r="W42" t="str">
        <f t="shared" si="2"/>
        <v>Stable</v>
      </c>
      <c r="X42" t="str">
        <f t="shared" si="3"/>
        <v>Low</v>
      </c>
      <c r="Y42">
        <f t="shared" si="4"/>
        <v>45</v>
      </c>
    </row>
    <row r="43" spans="1:25">
      <c r="A43" t="s">
        <v>32</v>
      </c>
      <c r="B43">
        <v>139</v>
      </c>
      <c r="C43">
        <v>510</v>
      </c>
      <c r="D43" t="s">
        <v>21</v>
      </c>
      <c r="E43" t="s">
        <v>21</v>
      </c>
      <c r="F43">
        <v>0</v>
      </c>
      <c r="G43">
        <v>134.4</v>
      </c>
      <c r="H43">
        <v>106</v>
      </c>
      <c r="I43">
        <v>22.85</v>
      </c>
      <c r="J43">
        <v>211.3</v>
      </c>
      <c r="K43">
        <v>98</v>
      </c>
      <c r="L43">
        <v>17.96</v>
      </c>
      <c r="M43">
        <v>193.6</v>
      </c>
      <c r="N43">
        <v>125</v>
      </c>
      <c r="O43">
        <v>8.7100000000000009</v>
      </c>
      <c r="P43">
        <v>10.199999999999999</v>
      </c>
      <c r="Q43">
        <v>2</v>
      </c>
      <c r="R43">
        <v>2.75</v>
      </c>
      <c r="S43">
        <v>5</v>
      </c>
      <c r="T43" t="b">
        <v>1</v>
      </c>
      <c r="U43" t="str">
        <f t="shared" si="0"/>
        <v>Normal Usage</v>
      </c>
      <c r="V43" t="str">
        <f t="shared" si="1"/>
        <v>Normal</v>
      </c>
      <c r="W43" t="str">
        <f t="shared" si="2"/>
        <v>Potential Churn</v>
      </c>
      <c r="X43" t="str">
        <f t="shared" si="3"/>
        <v>Medium</v>
      </c>
      <c r="Y43">
        <f t="shared" si="4"/>
        <v>139</v>
      </c>
    </row>
    <row r="44" spans="1:25">
      <c r="A44" t="s">
        <v>50</v>
      </c>
      <c r="B44">
        <v>215</v>
      </c>
      <c r="C44">
        <v>510</v>
      </c>
      <c r="D44" t="s">
        <v>21</v>
      </c>
      <c r="E44" t="s">
        <v>21</v>
      </c>
      <c r="F44">
        <v>0</v>
      </c>
      <c r="G44">
        <v>83.6</v>
      </c>
      <c r="H44">
        <v>148</v>
      </c>
      <c r="I44">
        <v>14.21</v>
      </c>
      <c r="J44">
        <v>120.9</v>
      </c>
      <c r="K44">
        <v>91</v>
      </c>
      <c r="L44">
        <v>10.28</v>
      </c>
      <c r="M44">
        <v>226.6</v>
      </c>
      <c r="N44">
        <v>110</v>
      </c>
      <c r="O44">
        <v>10.199999999999999</v>
      </c>
      <c r="P44">
        <v>10.7</v>
      </c>
      <c r="Q44">
        <v>9</v>
      </c>
      <c r="R44">
        <v>2.89</v>
      </c>
      <c r="S44">
        <v>0</v>
      </c>
      <c r="T44" t="b">
        <v>0</v>
      </c>
      <c r="U44" t="str">
        <f t="shared" si="0"/>
        <v>Normal Usage</v>
      </c>
      <c r="V44" t="str">
        <f t="shared" si="1"/>
        <v>Normal</v>
      </c>
      <c r="W44" t="str">
        <f t="shared" si="2"/>
        <v>Stable</v>
      </c>
      <c r="X44" t="str">
        <f t="shared" si="3"/>
        <v>Low</v>
      </c>
      <c r="Y44">
        <f t="shared" si="4"/>
        <v>215</v>
      </c>
    </row>
    <row r="45" spans="1:25">
      <c r="A45" t="s">
        <v>38</v>
      </c>
      <c r="B45">
        <v>94</v>
      </c>
      <c r="C45">
        <v>408</v>
      </c>
      <c r="D45" t="s">
        <v>21</v>
      </c>
      <c r="E45" t="s">
        <v>21</v>
      </c>
      <c r="F45">
        <v>0</v>
      </c>
      <c r="G45">
        <v>181.8</v>
      </c>
      <c r="H45">
        <v>85</v>
      </c>
      <c r="I45">
        <v>30.91</v>
      </c>
      <c r="J45">
        <v>202.4</v>
      </c>
      <c r="K45">
        <v>98</v>
      </c>
      <c r="L45">
        <v>17.2</v>
      </c>
      <c r="M45">
        <v>245.9</v>
      </c>
      <c r="N45">
        <v>97</v>
      </c>
      <c r="O45">
        <v>11.07</v>
      </c>
      <c r="P45">
        <v>9.1999999999999993</v>
      </c>
      <c r="Q45">
        <v>2</v>
      </c>
      <c r="R45">
        <v>2.48</v>
      </c>
      <c r="S45">
        <v>4</v>
      </c>
      <c r="T45" t="b">
        <v>0</v>
      </c>
      <c r="U45" t="str">
        <f t="shared" si="0"/>
        <v>Normal Usage</v>
      </c>
      <c r="V45" t="str">
        <f t="shared" si="1"/>
        <v>Normal</v>
      </c>
      <c r="W45" t="str">
        <f t="shared" si="2"/>
        <v>Potential Churn</v>
      </c>
      <c r="X45" t="str">
        <f t="shared" si="3"/>
        <v>Medium</v>
      </c>
      <c r="Y45">
        <f t="shared" si="4"/>
        <v>94</v>
      </c>
    </row>
    <row r="46" spans="1:25">
      <c r="A46" t="s">
        <v>46</v>
      </c>
      <c r="B46">
        <v>119</v>
      </c>
      <c r="C46">
        <v>510</v>
      </c>
      <c r="D46" t="s">
        <v>21</v>
      </c>
      <c r="E46" t="s">
        <v>27</v>
      </c>
      <c r="F46">
        <v>23</v>
      </c>
      <c r="G46">
        <v>154</v>
      </c>
      <c r="H46">
        <v>114</v>
      </c>
      <c r="I46">
        <v>26.18</v>
      </c>
      <c r="J46">
        <v>278</v>
      </c>
      <c r="K46">
        <v>137</v>
      </c>
      <c r="L46">
        <v>23.63</v>
      </c>
      <c r="M46">
        <v>228.4</v>
      </c>
      <c r="N46">
        <v>112</v>
      </c>
      <c r="O46">
        <v>10.28</v>
      </c>
      <c r="P46">
        <v>11.8</v>
      </c>
      <c r="Q46">
        <v>4</v>
      </c>
      <c r="R46">
        <v>3.19</v>
      </c>
      <c r="S46">
        <v>2</v>
      </c>
      <c r="T46" t="b">
        <v>0</v>
      </c>
      <c r="U46" t="str">
        <f t="shared" si="0"/>
        <v>Normal Usage</v>
      </c>
      <c r="V46" t="str">
        <f t="shared" si="1"/>
        <v>Normal</v>
      </c>
      <c r="W46" t="str">
        <f t="shared" si="2"/>
        <v>Stable</v>
      </c>
      <c r="X46" t="str">
        <f t="shared" si="3"/>
        <v>Low</v>
      </c>
      <c r="Y46">
        <f t="shared" si="4"/>
        <v>119</v>
      </c>
    </row>
    <row r="47" spans="1:25">
      <c r="A47" t="s">
        <v>28</v>
      </c>
      <c r="B47">
        <v>86</v>
      </c>
      <c r="C47">
        <v>510</v>
      </c>
      <c r="D47" t="s">
        <v>21</v>
      </c>
      <c r="E47" t="s">
        <v>27</v>
      </c>
      <c r="F47">
        <v>41</v>
      </c>
      <c r="G47">
        <v>119</v>
      </c>
      <c r="H47">
        <v>101</v>
      </c>
      <c r="I47">
        <v>20.23</v>
      </c>
      <c r="J47">
        <v>230</v>
      </c>
      <c r="K47">
        <v>134</v>
      </c>
      <c r="L47">
        <v>19.55</v>
      </c>
      <c r="M47">
        <v>236.9</v>
      </c>
      <c r="N47">
        <v>58</v>
      </c>
      <c r="O47">
        <v>10.66</v>
      </c>
      <c r="P47">
        <v>9.5</v>
      </c>
      <c r="Q47">
        <v>3</v>
      </c>
      <c r="R47">
        <v>2.57</v>
      </c>
      <c r="S47">
        <v>0</v>
      </c>
      <c r="T47" t="b">
        <v>0</v>
      </c>
      <c r="U47" t="str">
        <f t="shared" si="0"/>
        <v>Normal Usage</v>
      </c>
      <c r="V47" t="str">
        <f t="shared" si="1"/>
        <v>Normal</v>
      </c>
      <c r="W47" t="str">
        <f t="shared" si="2"/>
        <v>Stable</v>
      </c>
      <c r="X47" t="str">
        <f t="shared" si="3"/>
        <v>Low</v>
      </c>
      <c r="Y47">
        <f t="shared" si="4"/>
        <v>86</v>
      </c>
    </row>
    <row r="48" spans="1:25">
      <c r="A48" t="s">
        <v>51</v>
      </c>
      <c r="B48">
        <v>106</v>
      </c>
      <c r="C48">
        <v>408</v>
      </c>
      <c r="D48" t="s">
        <v>21</v>
      </c>
      <c r="E48" t="s">
        <v>27</v>
      </c>
      <c r="F48">
        <v>32</v>
      </c>
      <c r="G48">
        <v>165.9</v>
      </c>
      <c r="H48">
        <v>126</v>
      </c>
      <c r="I48">
        <v>28.2</v>
      </c>
      <c r="J48">
        <v>216.5</v>
      </c>
      <c r="K48">
        <v>93</v>
      </c>
      <c r="L48">
        <v>18.399999999999999</v>
      </c>
      <c r="M48">
        <v>173.1</v>
      </c>
      <c r="N48">
        <v>86</v>
      </c>
      <c r="O48">
        <v>7.79</v>
      </c>
      <c r="P48">
        <v>14.1</v>
      </c>
      <c r="Q48">
        <v>8</v>
      </c>
      <c r="R48">
        <v>3.81</v>
      </c>
      <c r="S48">
        <v>4</v>
      </c>
      <c r="T48" t="b">
        <v>0</v>
      </c>
      <c r="U48" t="str">
        <f t="shared" si="0"/>
        <v>Normal Usage</v>
      </c>
      <c r="V48" t="str">
        <f t="shared" si="1"/>
        <v>Normal</v>
      </c>
      <c r="W48" t="str">
        <f t="shared" si="2"/>
        <v>Potential Churn</v>
      </c>
      <c r="X48" t="str">
        <f t="shared" si="3"/>
        <v>Medium</v>
      </c>
      <c r="Y48">
        <f t="shared" si="4"/>
        <v>106</v>
      </c>
    </row>
    <row r="49" spans="1:25">
      <c r="A49" t="s">
        <v>52</v>
      </c>
      <c r="B49">
        <v>92</v>
      </c>
      <c r="C49">
        <v>408</v>
      </c>
      <c r="D49" t="s">
        <v>27</v>
      </c>
      <c r="E49" t="s">
        <v>21</v>
      </c>
      <c r="F49">
        <v>0</v>
      </c>
      <c r="G49">
        <v>62.6</v>
      </c>
      <c r="H49">
        <v>111</v>
      </c>
      <c r="I49">
        <v>10.64</v>
      </c>
      <c r="J49">
        <v>180.6</v>
      </c>
      <c r="K49">
        <v>126</v>
      </c>
      <c r="L49">
        <v>15.35</v>
      </c>
      <c r="M49">
        <v>221.7</v>
      </c>
      <c r="N49">
        <v>80</v>
      </c>
      <c r="O49">
        <v>9.98</v>
      </c>
      <c r="P49">
        <v>10.4</v>
      </c>
      <c r="Q49">
        <v>2</v>
      </c>
      <c r="R49">
        <v>2.81</v>
      </c>
      <c r="S49">
        <v>1</v>
      </c>
      <c r="T49" t="b">
        <v>1</v>
      </c>
      <c r="U49" t="str">
        <f t="shared" si="0"/>
        <v>Normal Usage</v>
      </c>
      <c r="V49" t="str">
        <f t="shared" si="1"/>
        <v>Normal</v>
      </c>
      <c r="W49" t="str">
        <f t="shared" si="2"/>
        <v>Stable</v>
      </c>
      <c r="X49" t="str">
        <f t="shared" si="3"/>
        <v>Low</v>
      </c>
      <c r="Y49">
        <f t="shared" si="4"/>
        <v>92</v>
      </c>
    </row>
    <row r="50" spans="1:25">
      <c r="A50" t="s">
        <v>24</v>
      </c>
      <c r="B50">
        <v>78</v>
      </c>
      <c r="C50">
        <v>510</v>
      </c>
      <c r="D50" t="s">
        <v>21</v>
      </c>
      <c r="E50" t="s">
        <v>21</v>
      </c>
      <c r="F50">
        <v>0</v>
      </c>
      <c r="G50">
        <v>168.3</v>
      </c>
      <c r="H50">
        <v>110</v>
      </c>
      <c r="I50">
        <v>28.61</v>
      </c>
      <c r="J50">
        <v>221.2</v>
      </c>
      <c r="K50">
        <v>73</v>
      </c>
      <c r="L50">
        <v>18.8</v>
      </c>
      <c r="M50">
        <v>241</v>
      </c>
      <c r="N50">
        <v>136</v>
      </c>
      <c r="O50">
        <v>10.85</v>
      </c>
      <c r="P50">
        <v>12.5</v>
      </c>
      <c r="Q50">
        <v>1</v>
      </c>
      <c r="R50">
        <v>3.38</v>
      </c>
      <c r="S50">
        <v>1</v>
      </c>
      <c r="T50" t="b">
        <v>0</v>
      </c>
      <c r="U50" t="str">
        <f t="shared" si="0"/>
        <v>Normal Usage</v>
      </c>
      <c r="V50" t="str">
        <f t="shared" si="1"/>
        <v>Normal</v>
      </c>
      <c r="W50" t="str">
        <f t="shared" si="2"/>
        <v>Stable</v>
      </c>
      <c r="X50" t="str">
        <f t="shared" si="3"/>
        <v>Low</v>
      </c>
      <c r="Y50">
        <f t="shared" si="4"/>
        <v>78</v>
      </c>
    </row>
    <row r="51" spans="1:25">
      <c r="A51" t="s">
        <v>53</v>
      </c>
      <c r="B51">
        <v>155</v>
      </c>
      <c r="C51">
        <v>408</v>
      </c>
      <c r="D51" t="s">
        <v>21</v>
      </c>
      <c r="E51" t="s">
        <v>21</v>
      </c>
      <c r="F51">
        <v>0</v>
      </c>
      <c r="G51">
        <v>262.39999999999998</v>
      </c>
      <c r="H51">
        <v>55</v>
      </c>
      <c r="I51">
        <v>44.61</v>
      </c>
      <c r="J51">
        <v>194.6</v>
      </c>
      <c r="K51">
        <v>113</v>
      </c>
      <c r="L51">
        <v>16.54</v>
      </c>
      <c r="M51">
        <v>146.5</v>
      </c>
      <c r="N51">
        <v>85</v>
      </c>
      <c r="O51">
        <v>6.59</v>
      </c>
      <c r="P51">
        <v>8.3000000000000007</v>
      </c>
      <c r="Q51">
        <v>6</v>
      </c>
      <c r="R51">
        <v>2.2400000000000002</v>
      </c>
      <c r="S51">
        <v>2</v>
      </c>
      <c r="T51" t="b">
        <v>0</v>
      </c>
      <c r="U51" t="str">
        <f t="shared" si="0"/>
        <v>High Usage</v>
      </c>
      <c r="V51" t="str">
        <f t="shared" si="1"/>
        <v>Normal</v>
      </c>
      <c r="W51" t="str">
        <f t="shared" si="2"/>
        <v>Potential Churn</v>
      </c>
      <c r="X51" t="str">
        <f t="shared" si="3"/>
        <v>Low</v>
      </c>
      <c r="Y51">
        <f t="shared" si="4"/>
        <v>155</v>
      </c>
    </row>
    <row r="52" spans="1:25">
      <c r="A52" t="s">
        <v>43</v>
      </c>
      <c r="B52">
        <v>64</v>
      </c>
      <c r="C52">
        <v>510</v>
      </c>
      <c r="D52" t="s">
        <v>21</v>
      </c>
      <c r="E52" t="s">
        <v>27</v>
      </c>
      <c r="F52">
        <v>48</v>
      </c>
      <c r="G52">
        <v>94.4</v>
      </c>
      <c r="H52">
        <v>104</v>
      </c>
      <c r="I52">
        <v>16.05</v>
      </c>
      <c r="J52">
        <v>136.19999999999999</v>
      </c>
      <c r="K52">
        <v>101</v>
      </c>
      <c r="L52">
        <v>11.58</v>
      </c>
      <c r="M52">
        <v>147.4</v>
      </c>
      <c r="N52">
        <v>89</v>
      </c>
      <c r="O52">
        <v>6.63</v>
      </c>
      <c r="P52">
        <v>4.5</v>
      </c>
      <c r="Q52">
        <v>4</v>
      </c>
      <c r="R52">
        <v>1.22</v>
      </c>
      <c r="S52">
        <v>0</v>
      </c>
      <c r="T52" t="b">
        <v>0</v>
      </c>
      <c r="U52" t="str">
        <f t="shared" si="0"/>
        <v>Normal Usage</v>
      </c>
      <c r="V52" t="str">
        <f t="shared" si="1"/>
        <v>Normal</v>
      </c>
      <c r="W52" t="str">
        <f t="shared" si="2"/>
        <v>Stable</v>
      </c>
      <c r="X52" t="str">
        <f t="shared" si="3"/>
        <v>Low</v>
      </c>
      <c r="Y52">
        <f t="shared" si="4"/>
        <v>64</v>
      </c>
    </row>
    <row r="53" spans="1:25">
      <c r="A53" t="s">
        <v>40</v>
      </c>
      <c r="B53">
        <v>83</v>
      </c>
      <c r="C53">
        <v>415</v>
      </c>
      <c r="D53" t="s">
        <v>21</v>
      </c>
      <c r="E53" t="s">
        <v>21</v>
      </c>
      <c r="F53">
        <v>0</v>
      </c>
      <c r="G53">
        <v>221.4</v>
      </c>
      <c r="H53">
        <v>103</v>
      </c>
      <c r="I53">
        <v>37.64</v>
      </c>
      <c r="J53">
        <v>231.8</v>
      </c>
      <c r="K53">
        <v>103</v>
      </c>
      <c r="L53">
        <v>19.7</v>
      </c>
      <c r="M53">
        <v>122.5</v>
      </c>
      <c r="N53">
        <v>100</v>
      </c>
      <c r="O53">
        <v>5.51</v>
      </c>
      <c r="P53">
        <v>9.8000000000000007</v>
      </c>
      <c r="Q53">
        <v>5</v>
      </c>
      <c r="R53">
        <v>2.65</v>
      </c>
      <c r="S53">
        <v>3</v>
      </c>
      <c r="T53" t="b">
        <v>0</v>
      </c>
      <c r="U53" t="str">
        <f t="shared" si="0"/>
        <v>High Usage</v>
      </c>
      <c r="V53" t="str">
        <f t="shared" si="1"/>
        <v>Normal</v>
      </c>
      <c r="W53" t="str">
        <f t="shared" si="2"/>
        <v>Stable</v>
      </c>
      <c r="X53" t="str">
        <f t="shared" si="3"/>
        <v>Medium</v>
      </c>
      <c r="Y53">
        <f t="shared" si="4"/>
        <v>83</v>
      </c>
    </row>
    <row r="54" spans="1:25">
      <c r="A54" t="s">
        <v>54</v>
      </c>
      <c r="B54">
        <v>144</v>
      </c>
      <c r="C54">
        <v>408</v>
      </c>
      <c r="D54" t="s">
        <v>21</v>
      </c>
      <c r="E54" t="s">
        <v>27</v>
      </c>
      <c r="F54">
        <v>48</v>
      </c>
      <c r="G54">
        <v>189.8</v>
      </c>
      <c r="H54">
        <v>96</v>
      </c>
      <c r="I54">
        <v>32.270000000000003</v>
      </c>
      <c r="J54">
        <v>123.4</v>
      </c>
      <c r="K54">
        <v>67</v>
      </c>
      <c r="L54">
        <v>10.49</v>
      </c>
      <c r="M54">
        <v>214.2</v>
      </c>
      <c r="N54">
        <v>106</v>
      </c>
      <c r="O54">
        <v>9.64</v>
      </c>
      <c r="P54">
        <v>6.5</v>
      </c>
      <c r="Q54">
        <v>2</v>
      </c>
      <c r="R54">
        <v>1.76</v>
      </c>
      <c r="S54">
        <v>2</v>
      </c>
      <c r="T54" t="b">
        <v>1</v>
      </c>
      <c r="U54" t="str">
        <f t="shared" si="0"/>
        <v>Normal Usage</v>
      </c>
      <c r="V54" t="str">
        <f t="shared" si="1"/>
        <v>Normal</v>
      </c>
      <c r="W54" t="str">
        <f t="shared" si="2"/>
        <v>Stable</v>
      </c>
      <c r="X54" t="str">
        <f t="shared" si="3"/>
        <v>Low</v>
      </c>
      <c r="Y54">
        <f t="shared" si="4"/>
        <v>144</v>
      </c>
    </row>
    <row r="55" spans="1:25">
      <c r="A55" t="s">
        <v>34</v>
      </c>
      <c r="B55">
        <v>143</v>
      </c>
      <c r="C55">
        <v>415</v>
      </c>
      <c r="D55" t="s">
        <v>21</v>
      </c>
      <c r="E55" t="s">
        <v>21</v>
      </c>
      <c r="F55">
        <v>0</v>
      </c>
      <c r="G55">
        <v>172.3</v>
      </c>
      <c r="H55">
        <v>97</v>
      </c>
      <c r="I55">
        <v>29.29</v>
      </c>
      <c r="J55">
        <v>174</v>
      </c>
      <c r="K55">
        <v>108</v>
      </c>
      <c r="L55">
        <v>14.79</v>
      </c>
      <c r="M55">
        <v>188.2</v>
      </c>
      <c r="N55">
        <v>119</v>
      </c>
      <c r="O55">
        <v>8.4700000000000006</v>
      </c>
      <c r="P55">
        <v>13</v>
      </c>
      <c r="Q55">
        <v>4</v>
      </c>
      <c r="R55">
        <v>3.51</v>
      </c>
      <c r="S55">
        <v>2</v>
      </c>
      <c r="T55" t="b">
        <v>0</v>
      </c>
      <c r="U55" t="str">
        <f t="shared" si="0"/>
        <v>Normal Usage</v>
      </c>
      <c r="V55" t="str">
        <f t="shared" si="1"/>
        <v>Normal</v>
      </c>
      <c r="W55" t="str">
        <f t="shared" si="2"/>
        <v>Stable</v>
      </c>
      <c r="X55" t="str">
        <f t="shared" si="3"/>
        <v>Low</v>
      </c>
      <c r="Y55">
        <f t="shared" si="4"/>
        <v>143</v>
      </c>
    </row>
    <row r="56" spans="1:25">
      <c r="A56" t="s">
        <v>32</v>
      </c>
      <c r="B56">
        <v>81</v>
      </c>
      <c r="C56">
        <v>415</v>
      </c>
      <c r="D56" t="s">
        <v>21</v>
      </c>
      <c r="E56" t="s">
        <v>21</v>
      </c>
      <c r="F56">
        <v>0</v>
      </c>
      <c r="G56">
        <v>198.4</v>
      </c>
      <c r="H56">
        <v>93</v>
      </c>
      <c r="I56">
        <v>33.729999999999997</v>
      </c>
      <c r="J56">
        <v>210.9</v>
      </c>
      <c r="K56">
        <v>108</v>
      </c>
      <c r="L56">
        <v>17.93</v>
      </c>
      <c r="M56">
        <v>193.3</v>
      </c>
      <c r="N56">
        <v>71</v>
      </c>
      <c r="O56">
        <v>8.6999999999999993</v>
      </c>
      <c r="P56">
        <v>10.4</v>
      </c>
      <c r="Q56">
        <v>6</v>
      </c>
      <c r="R56">
        <v>2.81</v>
      </c>
      <c r="S56">
        <v>2</v>
      </c>
      <c r="T56" t="b">
        <v>0</v>
      </c>
      <c r="U56" t="str">
        <f t="shared" si="0"/>
        <v>Normal Usage</v>
      </c>
      <c r="V56" t="str">
        <f t="shared" si="1"/>
        <v>Normal</v>
      </c>
      <c r="W56" t="str">
        <f t="shared" si="2"/>
        <v>Stable</v>
      </c>
      <c r="X56" t="str">
        <f t="shared" si="3"/>
        <v>Low</v>
      </c>
      <c r="Y56">
        <f t="shared" si="4"/>
        <v>81</v>
      </c>
    </row>
    <row r="57" spans="1:25">
      <c r="A57" t="s">
        <v>54</v>
      </c>
      <c r="B57">
        <v>145</v>
      </c>
      <c r="C57">
        <v>408</v>
      </c>
      <c r="D57" t="s">
        <v>21</v>
      </c>
      <c r="E57" t="s">
        <v>27</v>
      </c>
      <c r="F57">
        <v>24</v>
      </c>
      <c r="G57">
        <v>147.5</v>
      </c>
      <c r="H57">
        <v>90</v>
      </c>
      <c r="I57">
        <v>25.08</v>
      </c>
      <c r="J57">
        <v>175.7</v>
      </c>
      <c r="K57">
        <v>108</v>
      </c>
      <c r="L57">
        <v>14.93</v>
      </c>
      <c r="M57">
        <v>252.1</v>
      </c>
      <c r="N57">
        <v>102</v>
      </c>
      <c r="O57">
        <v>11.34</v>
      </c>
      <c r="P57">
        <v>15.6</v>
      </c>
      <c r="Q57">
        <v>3</v>
      </c>
      <c r="R57">
        <v>4.21</v>
      </c>
      <c r="S57">
        <v>2</v>
      </c>
      <c r="T57" t="b">
        <v>0</v>
      </c>
      <c r="U57" t="str">
        <f t="shared" si="0"/>
        <v>Normal Usage</v>
      </c>
      <c r="V57" t="str">
        <f t="shared" si="1"/>
        <v>Normal</v>
      </c>
      <c r="W57" t="str">
        <f t="shared" si="2"/>
        <v>Stable</v>
      </c>
      <c r="X57" t="str">
        <f t="shared" si="3"/>
        <v>Low</v>
      </c>
      <c r="Y57">
        <f t="shared" si="4"/>
        <v>145</v>
      </c>
    </row>
    <row r="58" spans="1:25">
      <c r="A58" t="s">
        <v>55</v>
      </c>
      <c r="B58">
        <v>89</v>
      </c>
      <c r="C58">
        <v>510</v>
      </c>
      <c r="D58" t="s">
        <v>21</v>
      </c>
      <c r="E58" t="s">
        <v>21</v>
      </c>
      <c r="F58">
        <v>0</v>
      </c>
      <c r="G58">
        <v>303.89999999999998</v>
      </c>
      <c r="H58">
        <v>95</v>
      </c>
      <c r="I58">
        <v>51.66</v>
      </c>
      <c r="J58">
        <v>260.89999999999998</v>
      </c>
      <c r="K58">
        <v>114</v>
      </c>
      <c r="L58">
        <v>22.18</v>
      </c>
      <c r="M58">
        <v>312.10000000000002</v>
      </c>
      <c r="N58">
        <v>89</v>
      </c>
      <c r="O58">
        <v>14.04</v>
      </c>
      <c r="P58">
        <v>5.3</v>
      </c>
      <c r="Q58">
        <v>3</v>
      </c>
      <c r="R58">
        <v>1.43</v>
      </c>
      <c r="S58">
        <v>1</v>
      </c>
      <c r="T58" t="b">
        <v>1</v>
      </c>
      <c r="U58" t="str">
        <f t="shared" si="0"/>
        <v>High Usage</v>
      </c>
      <c r="V58" t="str">
        <f t="shared" si="1"/>
        <v>Normal</v>
      </c>
      <c r="W58" t="str">
        <f t="shared" si="2"/>
        <v>Potential Churn</v>
      </c>
      <c r="X58" t="str">
        <f t="shared" si="3"/>
        <v>Low</v>
      </c>
      <c r="Y58">
        <f t="shared" si="4"/>
        <v>89</v>
      </c>
    </row>
    <row r="59" spans="1:25">
      <c r="A59" t="s">
        <v>56</v>
      </c>
      <c r="B59">
        <v>199</v>
      </c>
      <c r="C59">
        <v>415</v>
      </c>
      <c r="D59" t="s">
        <v>21</v>
      </c>
      <c r="E59" t="s">
        <v>27</v>
      </c>
      <c r="F59">
        <v>34</v>
      </c>
      <c r="G59">
        <v>230.6</v>
      </c>
      <c r="H59">
        <v>121</v>
      </c>
      <c r="I59">
        <v>39.200000000000003</v>
      </c>
      <c r="J59">
        <v>219.4</v>
      </c>
      <c r="K59">
        <v>99</v>
      </c>
      <c r="L59">
        <v>18.649999999999999</v>
      </c>
      <c r="M59">
        <v>299.3</v>
      </c>
      <c r="N59">
        <v>94</v>
      </c>
      <c r="O59">
        <v>13.47</v>
      </c>
      <c r="P59">
        <v>8</v>
      </c>
      <c r="Q59">
        <v>2</v>
      </c>
      <c r="R59">
        <v>2.16</v>
      </c>
      <c r="S59">
        <v>0</v>
      </c>
      <c r="T59" t="b">
        <v>0</v>
      </c>
      <c r="U59" t="str">
        <f t="shared" si="0"/>
        <v>High Usage</v>
      </c>
      <c r="V59" t="str">
        <f t="shared" si="1"/>
        <v>Normal</v>
      </c>
      <c r="W59" t="str">
        <f t="shared" si="2"/>
        <v>Stable</v>
      </c>
      <c r="X59" t="str">
        <f t="shared" si="3"/>
        <v>Low</v>
      </c>
      <c r="Y59">
        <f t="shared" si="4"/>
        <v>199</v>
      </c>
    </row>
    <row r="60" spans="1:25">
      <c r="A60" t="s">
        <v>56</v>
      </c>
      <c r="B60">
        <v>96</v>
      </c>
      <c r="C60">
        <v>415</v>
      </c>
      <c r="D60" t="s">
        <v>21</v>
      </c>
      <c r="E60" t="s">
        <v>27</v>
      </c>
      <c r="F60">
        <v>37</v>
      </c>
      <c r="G60">
        <v>172.7</v>
      </c>
      <c r="H60">
        <v>93</v>
      </c>
      <c r="I60">
        <v>29.36</v>
      </c>
      <c r="J60">
        <v>120.1</v>
      </c>
      <c r="K60">
        <v>116</v>
      </c>
      <c r="L60">
        <v>10.210000000000001</v>
      </c>
      <c r="M60">
        <v>216.1</v>
      </c>
      <c r="N60">
        <v>86</v>
      </c>
      <c r="O60">
        <v>9.7200000000000006</v>
      </c>
      <c r="P60">
        <v>10.3</v>
      </c>
      <c r="Q60">
        <v>5</v>
      </c>
      <c r="R60">
        <v>2.78</v>
      </c>
      <c r="S60">
        <v>5</v>
      </c>
      <c r="T60" t="b">
        <v>1</v>
      </c>
      <c r="U60" t="str">
        <f t="shared" si="0"/>
        <v>Normal Usage</v>
      </c>
      <c r="V60" t="str">
        <f t="shared" si="1"/>
        <v>Normal</v>
      </c>
      <c r="W60" t="str">
        <f t="shared" si="2"/>
        <v>Potential Churn</v>
      </c>
      <c r="X60" t="str">
        <f t="shared" si="3"/>
        <v>Medium</v>
      </c>
      <c r="Y60">
        <f t="shared" si="4"/>
        <v>199</v>
      </c>
    </row>
    <row r="61" spans="1:25">
      <c r="A61" t="s">
        <v>32</v>
      </c>
      <c r="B61">
        <v>94</v>
      </c>
      <c r="C61">
        <v>415</v>
      </c>
      <c r="D61" t="s">
        <v>21</v>
      </c>
      <c r="E61" t="s">
        <v>21</v>
      </c>
      <c r="F61">
        <v>0</v>
      </c>
      <c r="G61">
        <v>181.5</v>
      </c>
      <c r="H61">
        <v>98</v>
      </c>
      <c r="I61">
        <v>30.86</v>
      </c>
      <c r="J61">
        <v>199.9</v>
      </c>
      <c r="K61">
        <v>88</v>
      </c>
      <c r="L61">
        <v>16.989999999999998</v>
      </c>
      <c r="M61">
        <v>287.7</v>
      </c>
      <c r="N61">
        <v>114</v>
      </c>
      <c r="O61">
        <v>12.95</v>
      </c>
      <c r="P61">
        <v>6.6</v>
      </c>
      <c r="Q61">
        <v>5</v>
      </c>
      <c r="R61">
        <v>1.78</v>
      </c>
      <c r="S61">
        <v>1</v>
      </c>
      <c r="T61" t="b">
        <v>0</v>
      </c>
      <c r="U61" t="str">
        <f t="shared" si="0"/>
        <v>Normal Usage</v>
      </c>
      <c r="V61" t="str">
        <f t="shared" si="1"/>
        <v>Normal</v>
      </c>
      <c r="W61" t="str">
        <f t="shared" si="2"/>
        <v>Stable</v>
      </c>
      <c r="X61" t="str">
        <f t="shared" si="3"/>
        <v>Low</v>
      </c>
      <c r="Y61">
        <f t="shared" si="4"/>
        <v>94</v>
      </c>
    </row>
    <row r="62" spans="1:25">
      <c r="A62" t="s">
        <v>51</v>
      </c>
      <c r="B62">
        <v>127</v>
      </c>
      <c r="C62">
        <v>415</v>
      </c>
      <c r="D62" t="s">
        <v>21</v>
      </c>
      <c r="E62" t="s">
        <v>21</v>
      </c>
      <c r="F62">
        <v>0</v>
      </c>
      <c r="G62">
        <v>266.60000000000002</v>
      </c>
      <c r="H62">
        <v>106</v>
      </c>
      <c r="I62">
        <v>45.32</v>
      </c>
      <c r="J62">
        <v>264.8</v>
      </c>
      <c r="K62">
        <v>168</v>
      </c>
      <c r="L62">
        <v>22.51</v>
      </c>
      <c r="M62">
        <v>207.2</v>
      </c>
      <c r="N62">
        <v>119</v>
      </c>
      <c r="O62">
        <v>9.32</v>
      </c>
      <c r="P62">
        <v>5.9</v>
      </c>
      <c r="Q62">
        <v>2</v>
      </c>
      <c r="R62">
        <v>1.59</v>
      </c>
      <c r="S62">
        <v>1</v>
      </c>
      <c r="T62" t="b">
        <v>1</v>
      </c>
      <c r="U62" t="str">
        <f t="shared" si="0"/>
        <v>High Usage</v>
      </c>
      <c r="V62" t="str">
        <f t="shared" si="1"/>
        <v>Normal</v>
      </c>
      <c r="W62" t="str">
        <f t="shared" si="2"/>
        <v>Potential Churn</v>
      </c>
      <c r="X62" t="str">
        <f t="shared" si="3"/>
        <v>Low</v>
      </c>
      <c r="Y62">
        <f t="shared" si="4"/>
        <v>127</v>
      </c>
    </row>
    <row r="63" spans="1:25">
      <c r="A63" t="s">
        <v>57</v>
      </c>
      <c r="B63">
        <v>121</v>
      </c>
      <c r="C63">
        <v>408</v>
      </c>
      <c r="D63" t="s">
        <v>21</v>
      </c>
      <c r="E63" t="s">
        <v>21</v>
      </c>
      <c r="F63">
        <v>0</v>
      </c>
      <c r="G63">
        <v>170.4</v>
      </c>
      <c r="H63">
        <v>108</v>
      </c>
      <c r="I63">
        <v>28.97</v>
      </c>
      <c r="J63">
        <v>350.5</v>
      </c>
      <c r="K63">
        <v>68</v>
      </c>
      <c r="L63">
        <v>29.79</v>
      </c>
      <c r="M63">
        <v>297</v>
      </c>
      <c r="N63">
        <v>87</v>
      </c>
      <c r="O63">
        <v>13.37</v>
      </c>
      <c r="P63">
        <v>11.2</v>
      </c>
      <c r="Q63">
        <v>3</v>
      </c>
      <c r="R63">
        <v>3.02</v>
      </c>
      <c r="S63">
        <v>0</v>
      </c>
      <c r="T63" t="b">
        <v>1</v>
      </c>
      <c r="U63" t="str">
        <f t="shared" si="0"/>
        <v>Normal Usage</v>
      </c>
      <c r="V63" t="str">
        <f t="shared" si="1"/>
        <v>Normal</v>
      </c>
      <c r="W63" t="str">
        <f t="shared" si="2"/>
        <v>Stable</v>
      </c>
      <c r="X63" t="str">
        <f t="shared" si="3"/>
        <v>Low</v>
      </c>
      <c r="Y63">
        <f t="shared" si="4"/>
        <v>121</v>
      </c>
    </row>
    <row r="64" spans="1:25">
      <c r="A64" t="s">
        <v>22</v>
      </c>
      <c r="B64">
        <v>122</v>
      </c>
      <c r="C64">
        <v>408</v>
      </c>
      <c r="D64" t="s">
        <v>21</v>
      </c>
      <c r="E64" t="s">
        <v>21</v>
      </c>
      <c r="F64">
        <v>0</v>
      </c>
      <c r="G64">
        <v>296.39999999999998</v>
      </c>
      <c r="H64">
        <v>99</v>
      </c>
      <c r="I64">
        <v>50.39</v>
      </c>
      <c r="J64">
        <v>214.8</v>
      </c>
      <c r="K64">
        <v>89</v>
      </c>
      <c r="L64">
        <v>18.260000000000002</v>
      </c>
      <c r="M64">
        <v>133.9</v>
      </c>
      <c r="N64">
        <v>107</v>
      </c>
      <c r="O64">
        <v>6.03</v>
      </c>
      <c r="P64">
        <v>11.4</v>
      </c>
      <c r="Q64">
        <v>3</v>
      </c>
      <c r="R64">
        <v>3.08</v>
      </c>
      <c r="S64">
        <v>4</v>
      </c>
      <c r="T64" t="b">
        <v>1</v>
      </c>
      <c r="U64" t="str">
        <f t="shared" si="0"/>
        <v>High Usage</v>
      </c>
      <c r="V64" t="str">
        <f t="shared" si="1"/>
        <v>Normal</v>
      </c>
      <c r="W64" t="str">
        <f t="shared" si="2"/>
        <v>Potential Churn</v>
      </c>
      <c r="X64" t="str">
        <f t="shared" si="3"/>
        <v>Medium</v>
      </c>
      <c r="Y64">
        <f t="shared" si="4"/>
        <v>122</v>
      </c>
    </row>
    <row r="65" spans="1:25">
      <c r="A65" t="s">
        <v>44</v>
      </c>
      <c r="B65">
        <v>121</v>
      </c>
      <c r="C65">
        <v>408</v>
      </c>
      <c r="D65" t="s">
        <v>21</v>
      </c>
      <c r="E65" t="s">
        <v>27</v>
      </c>
      <c r="F65">
        <v>35</v>
      </c>
      <c r="G65">
        <v>68.7</v>
      </c>
      <c r="H65">
        <v>95</v>
      </c>
      <c r="I65">
        <v>11.68</v>
      </c>
      <c r="J65">
        <v>209.2</v>
      </c>
      <c r="K65">
        <v>69</v>
      </c>
      <c r="L65">
        <v>17.78</v>
      </c>
      <c r="M65">
        <v>197.4</v>
      </c>
      <c r="N65">
        <v>42</v>
      </c>
      <c r="O65">
        <v>8.8800000000000008</v>
      </c>
      <c r="P65">
        <v>11.4</v>
      </c>
      <c r="Q65">
        <v>4</v>
      </c>
      <c r="R65">
        <v>3.08</v>
      </c>
      <c r="S65">
        <v>1</v>
      </c>
      <c r="T65" t="b">
        <v>0</v>
      </c>
      <c r="U65" t="str">
        <f t="shared" si="0"/>
        <v>Normal Usage</v>
      </c>
      <c r="V65" t="str">
        <f t="shared" si="1"/>
        <v>Normal</v>
      </c>
      <c r="W65" t="str">
        <f t="shared" si="2"/>
        <v>Stable</v>
      </c>
      <c r="X65" t="str">
        <f t="shared" si="3"/>
        <v>Low</v>
      </c>
      <c r="Y65">
        <f t="shared" si="4"/>
        <v>121</v>
      </c>
    </row>
    <row r="66" spans="1:25">
      <c r="A66" t="s">
        <v>47</v>
      </c>
      <c r="B66">
        <v>77</v>
      </c>
      <c r="C66">
        <v>510</v>
      </c>
      <c r="D66" t="s">
        <v>21</v>
      </c>
      <c r="E66" t="s">
        <v>21</v>
      </c>
      <c r="F66">
        <v>0</v>
      </c>
      <c r="G66">
        <v>233.8</v>
      </c>
      <c r="H66">
        <v>104</v>
      </c>
      <c r="I66">
        <v>39.75</v>
      </c>
      <c r="J66">
        <v>266.5</v>
      </c>
      <c r="K66">
        <v>94</v>
      </c>
      <c r="L66">
        <v>22.65</v>
      </c>
      <c r="M66">
        <v>212.7</v>
      </c>
      <c r="N66">
        <v>104</v>
      </c>
      <c r="O66">
        <v>9.57</v>
      </c>
      <c r="P66">
        <v>7.6</v>
      </c>
      <c r="Q66">
        <v>3</v>
      </c>
      <c r="R66">
        <v>2.0499999999999998</v>
      </c>
      <c r="S66">
        <v>2</v>
      </c>
      <c r="T66" t="b">
        <v>0</v>
      </c>
      <c r="U66" t="str">
        <f t="shared" si="0"/>
        <v>High Usage</v>
      </c>
      <c r="V66" t="str">
        <f t="shared" si="1"/>
        <v>Normal</v>
      </c>
      <c r="W66" t="str">
        <f t="shared" si="2"/>
        <v>Stable</v>
      </c>
      <c r="X66" t="str">
        <f t="shared" si="3"/>
        <v>Low</v>
      </c>
      <c r="Y66">
        <f t="shared" si="4"/>
        <v>77</v>
      </c>
    </row>
    <row r="67" spans="1:25">
      <c r="A67" t="s">
        <v>49</v>
      </c>
      <c r="B67">
        <v>64</v>
      </c>
      <c r="C67">
        <v>408</v>
      </c>
      <c r="D67" t="s">
        <v>27</v>
      </c>
      <c r="E67" t="s">
        <v>21</v>
      </c>
      <c r="F67">
        <v>0</v>
      </c>
      <c r="G67">
        <v>236.2</v>
      </c>
      <c r="H67">
        <v>77</v>
      </c>
      <c r="I67">
        <v>40.15</v>
      </c>
      <c r="J67">
        <v>218.6</v>
      </c>
      <c r="K67">
        <v>85</v>
      </c>
      <c r="L67">
        <v>18.579999999999998</v>
      </c>
      <c r="M67">
        <v>194.1</v>
      </c>
      <c r="N67">
        <v>97</v>
      </c>
      <c r="O67">
        <v>8.73</v>
      </c>
      <c r="P67">
        <v>13.2</v>
      </c>
      <c r="Q67">
        <v>2</v>
      </c>
      <c r="R67">
        <v>3.56</v>
      </c>
      <c r="S67">
        <v>2</v>
      </c>
      <c r="T67" t="b">
        <v>1</v>
      </c>
      <c r="U67" t="str">
        <f t="shared" ref="U67:U130" si="5">IF(G67&gt;200,"High Usage","Normal Usage")</f>
        <v>High Usage</v>
      </c>
      <c r="V67" t="str">
        <f t="shared" ref="V67:V130" si="6">IF(AND(S67&gt;3,D67="Yes"),"High Risk","Normal")</f>
        <v>Normal</v>
      </c>
      <c r="W67" t="str">
        <f t="shared" ref="W67:W130" si="7">IF(OR(S67&gt;3,G67&gt;250),"Potential Churn","Stable")</f>
        <v>Stable</v>
      </c>
      <c r="X67" t="str">
        <f t="shared" ref="X67:X130" si="8">IF(S67&gt;5,"Critical",IF(S67&gt;=3,"Medium","Low"))</f>
        <v>Low</v>
      </c>
      <c r="Y67">
        <f t="shared" ref="Y67:Y130" si="9">VLOOKUP(A67,A66:U733,2,FALSE)</f>
        <v>64</v>
      </c>
    </row>
    <row r="68" spans="1:25">
      <c r="A68" t="s">
        <v>39</v>
      </c>
      <c r="B68">
        <v>124</v>
      </c>
      <c r="C68">
        <v>408</v>
      </c>
      <c r="D68" t="s">
        <v>27</v>
      </c>
      <c r="E68" t="s">
        <v>21</v>
      </c>
      <c r="F68">
        <v>0</v>
      </c>
      <c r="G68">
        <v>244.6</v>
      </c>
      <c r="H68">
        <v>89</v>
      </c>
      <c r="I68">
        <v>41.58</v>
      </c>
      <c r="J68">
        <v>188.8</v>
      </c>
      <c r="K68">
        <v>80</v>
      </c>
      <c r="L68">
        <v>16.05</v>
      </c>
      <c r="M68">
        <v>206</v>
      </c>
      <c r="N68">
        <v>114</v>
      </c>
      <c r="O68">
        <v>9.27</v>
      </c>
      <c r="P68">
        <v>11.3</v>
      </c>
      <c r="Q68">
        <v>4</v>
      </c>
      <c r="R68">
        <v>3.05</v>
      </c>
      <c r="S68">
        <v>1</v>
      </c>
      <c r="T68" t="b">
        <v>0</v>
      </c>
      <c r="U68" t="str">
        <f t="shared" si="5"/>
        <v>High Usage</v>
      </c>
      <c r="V68" t="str">
        <f t="shared" si="6"/>
        <v>Normal</v>
      </c>
      <c r="W68" t="str">
        <f t="shared" si="7"/>
        <v>Stable</v>
      </c>
      <c r="X68" t="str">
        <f t="shared" si="8"/>
        <v>Low</v>
      </c>
      <c r="Y68">
        <f t="shared" si="9"/>
        <v>124</v>
      </c>
    </row>
    <row r="69" spans="1:25">
      <c r="A69" t="s">
        <v>58</v>
      </c>
      <c r="B69">
        <v>148</v>
      </c>
      <c r="C69">
        <v>415</v>
      </c>
      <c r="D69" t="s">
        <v>21</v>
      </c>
      <c r="E69" t="s">
        <v>21</v>
      </c>
      <c r="F69">
        <v>0</v>
      </c>
      <c r="G69">
        <v>124.4</v>
      </c>
      <c r="H69">
        <v>83</v>
      </c>
      <c r="I69">
        <v>21.15</v>
      </c>
      <c r="J69">
        <v>179.7</v>
      </c>
      <c r="K69">
        <v>81</v>
      </c>
      <c r="L69">
        <v>15.27</v>
      </c>
      <c r="M69">
        <v>253</v>
      </c>
      <c r="N69">
        <v>99</v>
      </c>
      <c r="O69">
        <v>11.39</v>
      </c>
      <c r="P69">
        <v>11.3</v>
      </c>
      <c r="Q69">
        <v>6</v>
      </c>
      <c r="R69">
        <v>3.05</v>
      </c>
      <c r="S69">
        <v>0</v>
      </c>
      <c r="T69" t="b">
        <v>0</v>
      </c>
      <c r="U69" t="str">
        <f t="shared" si="5"/>
        <v>Normal Usage</v>
      </c>
      <c r="V69" t="str">
        <f t="shared" si="6"/>
        <v>Normal</v>
      </c>
      <c r="W69" t="str">
        <f t="shared" si="7"/>
        <v>Stable</v>
      </c>
      <c r="X69" t="str">
        <f t="shared" si="8"/>
        <v>Low</v>
      </c>
      <c r="Y69">
        <f t="shared" si="9"/>
        <v>148</v>
      </c>
    </row>
    <row r="70" spans="1:25">
      <c r="A70" t="s">
        <v>49</v>
      </c>
      <c r="B70">
        <v>77</v>
      </c>
      <c r="C70">
        <v>408</v>
      </c>
      <c r="D70" t="s">
        <v>21</v>
      </c>
      <c r="E70" t="s">
        <v>21</v>
      </c>
      <c r="F70">
        <v>0</v>
      </c>
      <c r="G70">
        <v>230</v>
      </c>
      <c r="H70">
        <v>87</v>
      </c>
      <c r="I70">
        <v>39.1</v>
      </c>
      <c r="J70">
        <v>103.2</v>
      </c>
      <c r="K70">
        <v>138</v>
      </c>
      <c r="L70">
        <v>8.77</v>
      </c>
      <c r="M70">
        <v>309.60000000000002</v>
      </c>
      <c r="N70">
        <v>136</v>
      </c>
      <c r="O70">
        <v>13.93</v>
      </c>
      <c r="P70">
        <v>11.3</v>
      </c>
      <c r="Q70">
        <v>3</v>
      </c>
      <c r="R70">
        <v>3.05</v>
      </c>
      <c r="S70">
        <v>2</v>
      </c>
      <c r="T70" t="b">
        <v>0</v>
      </c>
      <c r="U70" t="str">
        <f t="shared" si="5"/>
        <v>High Usage</v>
      </c>
      <c r="V70" t="str">
        <f t="shared" si="6"/>
        <v>Normal</v>
      </c>
      <c r="W70" t="str">
        <f t="shared" si="7"/>
        <v>Stable</v>
      </c>
      <c r="X70" t="str">
        <f t="shared" si="8"/>
        <v>Low</v>
      </c>
      <c r="Y70">
        <f t="shared" si="9"/>
        <v>77</v>
      </c>
    </row>
    <row r="71" spans="1:25">
      <c r="A71" t="s">
        <v>53</v>
      </c>
      <c r="B71">
        <v>135</v>
      </c>
      <c r="C71">
        <v>415</v>
      </c>
      <c r="D71" t="s">
        <v>21</v>
      </c>
      <c r="E71" t="s">
        <v>21</v>
      </c>
      <c r="F71">
        <v>0</v>
      </c>
      <c r="G71">
        <v>201.8</v>
      </c>
      <c r="H71">
        <v>81</v>
      </c>
      <c r="I71">
        <v>34.31</v>
      </c>
      <c r="J71">
        <v>225</v>
      </c>
      <c r="K71">
        <v>114</v>
      </c>
      <c r="L71">
        <v>19.13</v>
      </c>
      <c r="M71">
        <v>204.4</v>
      </c>
      <c r="N71">
        <v>82</v>
      </c>
      <c r="O71">
        <v>9.1999999999999993</v>
      </c>
      <c r="P71">
        <v>10.3</v>
      </c>
      <c r="Q71">
        <v>6</v>
      </c>
      <c r="R71">
        <v>2.78</v>
      </c>
      <c r="S71">
        <v>1</v>
      </c>
      <c r="T71" t="b">
        <v>0</v>
      </c>
      <c r="U71" t="str">
        <f t="shared" si="5"/>
        <v>High Usage</v>
      </c>
      <c r="V71" t="str">
        <f t="shared" si="6"/>
        <v>Normal</v>
      </c>
      <c r="W71" t="str">
        <f t="shared" si="7"/>
        <v>Stable</v>
      </c>
      <c r="X71" t="str">
        <f t="shared" si="8"/>
        <v>Low</v>
      </c>
      <c r="Y71">
        <f t="shared" si="9"/>
        <v>135</v>
      </c>
    </row>
    <row r="72" spans="1:25">
      <c r="A72" t="s">
        <v>54</v>
      </c>
      <c r="B72">
        <v>87</v>
      </c>
      <c r="C72">
        <v>415</v>
      </c>
      <c r="D72" t="s">
        <v>21</v>
      </c>
      <c r="E72" t="s">
        <v>27</v>
      </c>
      <c r="F72">
        <v>21</v>
      </c>
      <c r="G72">
        <v>214</v>
      </c>
      <c r="H72">
        <v>113</v>
      </c>
      <c r="I72">
        <v>36.380000000000003</v>
      </c>
      <c r="J72">
        <v>180</v>
      </c>
      <c r="K72">
        <v>114</v>
      </c>
      <c r="L72">
        <v>15.3</v>
      </c>
      <c r="M72">
        <v>134.5</v>
      </c>
      <c r="N72">
        <v>82</v>
      </c>
      <c r="O72">
        <v>6.05</v>
      </c>
      <c r="P72">
        <v>10.6</v>
      </c>
      <c r="Q72">
        <v>5</v>
      </c>
      <c r="R72">
        <v>2.86</v>
      </c>
      <c r="S72">
        <v>0</v>
      </c>
      <c r="T72" t="b">
        <v>0</v>
      </c>
      <c r="U72" t="str">
        <f t="shared" si="5"/>
        <v>High Usage</v>
      </c>
      <c r="V72" t="str">
        <f t="shared" si="6"/>
        <v>Normal</v>
      </c>
      <c r="W72" t="str">
        <f t="shared" si="7"/>
        <v>Stable</v>
      </c>
      <c r="X72" t="str">
        <f t="shared" si="8"/>
        <v>Low</v>
      </c>
      <c r="Y72">
        <f t="shared" si="9"/>
        <v>87</v>
      </c>
    </row>
    <row r="73" spans="1:25">
      <c r="A73" t="s">
        <v>45</v>
      </c>
      <c r="B73">
        <v>54</v>
      </c>
      <c r="C73">
        <v>510</v>
      </c>
      <c r="D73" t="s">
        <v>21</v>
      </c>
      <c r="E73" t="s">
        <v>21</v>
      </c>
      <c r="F73">
        <v>0</v>
      </c>
      <c r="G73">
        <v>210.5</v>
      </c>
      <c r="H73">
        <v>102</v>
      </c>
      <c r="I73">
        <v>35.79</v>
      </c>
      <c r="J73">
        <v>204.5</v>
      </c>
      <c r="K73">
        <v>83</v>
      </c>
      <c r="L73">
        <v>17.38</v>
      </c>
      <c r="M73">
        <v>127.8</v>
      </c>
      <c r="N73">
        <v>53</v>
      </c>
      <c r="O73">
        <v>5.75</v>
      </c>
      <c r="P73">
        <v>8.5</v>
      </c>
      <c r="Q73">
        <v>5</v>
      </c>
      <c r="R73">
        <v>2.2999999999999998</v>
      </c>
      <c r="S73">
        <v>1</v>
      </c>
      <c r="T73" t="b">
        <v>0</v>
      </c>
      <c r="U73" t="str">
        <f t="shared" si="5"/>
        <v>High Usage</v>
      </c>
      <c r="V73" t="str">
        <f t="shared" si="6"/>
        <v>Normal</v>
      </c>
      <c r="W73" t="str">
        <f t="shared" si="7"/>
        <v>Stable</v>
      </c>
      <c r="X73" t="str">
        <f t="shared" si="8"/>
        <v>Low</v>
      </c>
      <c r="Y73">
        <f t="shared" si="9"/>
        <v>54</v>
      </c>
    </row>
    <row r="74" spans="1:25">
      <c r="A74" t="s">
        <v>35</v>
      </c>
      <c r="B74">
        <v>35</v>
      </c>
      <c r="C74">
        <v>415</v>
      </c>
      <c r="D74" t="s">
        <v>21</v>
      </c>
      <c r="E74" t="s">
        <v>21</v>
      </c>
      <c r="F74">
        <v>0</v>
      </c>
      <c r="G74">
        <v>105.6</v>
      </c>
      <c r="H74">
        <v>129</v>
      </c>
      <c r="I74">
        <v>17.95</v>
      </c>
      <c r="J74">
        <v>258.2</v>
      </c>
      <c r="K74">
        <v>129</v>
      </c>
      <c r="L74">
        <v>21.95</v>
      </c>
      <c r="M74">
        <v>213.1</v>
      </c>
      <c r="N74">
        <v>77</v>
      </c>
      <c r="O74">
        <v>9.59</v>
      </c>
      <c r="P74">
        <v>8.6999999999999993</v>
      </c>
      <c r="Q74">
        <v>3</v>
      </c>
      <c r="R74">
        <v>2.35</v>
      </c>
      <c r="S74">
        <v>0</v>
      </c>
      <c r="T74" t="b">
        <v>0</v>
      </c>
      <c r="U74" t="str">
        <f t="shared" si="5"/>
        <v>Normal Usage</v>
      </c>
      <c r="V74" t="str">
        <f t="shared" si="6"/>
        <v>Normal</v>
      </c>
      <c r="W74" t="str">
        <f t="shared" si="7"/>
        <v>Stable</v>
      </c>
      <c r="X74" t="str">
        <f t="shared" si="8"/>
        <v>Low</v>
      </c>
      <c r="Y74">
        <f t="shared" si="9"/>
        <v>35</v>
      </c>
    </row>
    <row r="75" spans="1:25">
      <c r="A75" t="s">
        <v>48</v>
      </c>
      <c r="B75">
        <v>84</v>
      </c>
      <c r="C75">
        <v>408</v>
      </c>
      <c r="D75" t="s">
        <v>21</v>
      </c>
      <c r="E75" t="s">
        <v>21</v>
      </c>
      <c r="F75">
        <v>0</v>
      </c>
      <c r="G75">
        <v>138.6</v>
      </c>
      <c r="H75">
        <v>102</v>
      </c>
      <c r="I75">
        <v>23.56</v>
      </c>
      <c r="J75">
        <v>199</v>
      </c>
      <c r="K75">
        <v>93</v>
      </c>
      <c r="L75">
        <v>16.920000000000002</v>
      </c>
      <c r="M75">
        <v>204.1</v>
      </c>
      <c r="N75">
        <v>137</v>
      </c>
      <c r="O75">
        <v>9.18</v>
      </c>
      <c r="P75">
        <v>7.8</v>
      </c>
      <c r="Q75">
        <v>4</v>
      </c>
      <c r="R75">
        <v>2.11</v>
      </c>
      <c r="S75">
        <v>0</v>
      </c>
      <c r="T75" t="b">
        <v>0</v>
      </c>
      <c r="U75" t="str">
        <f t="shared" si="5"/>
        <v>Normal Usage</v>
      </c>
      <c r="V75" t="str">
        <f t="shared" si="6"/>
        <v>Normal</v>
      </c>
      <c r="W75" t="str">
        <f t="shared" si="7"/>
        <v>Stable</v>
      </c>
      <c r="X75" t="str">
        <f t="shared" si="8"/>
        <v>Low</v>
      </c>
      <c r="Y75">
        <f t="shared" si="9"/>
        <v>84</v>
      </c>
    </row>
    <row r="76" spans="1:25">
      <c r="A76" t="s">
        <v>47</v>
      </c>
      <c r="B76">
        <v>94</v>
      </c>
      <c r="C76">
        <v>415</v>
      </c>
      <c r="D76" t="s">
        <v>21</v>
      </c>
      <c r="E76" t="s">
        <v>21</v>
      </c>
      <c r="F76">
        <v>0</v>
      </c>
      <c r="G76">
        <v>234.4</v>
      </c>
      <c r="H76">
        <v>103</v>
      </c>
      <c r="I76">
        <v>39.85</v>
      </c>
      <c r="J76">
        <v>279.3</v>
      </c>
      <c r="K76">
        <v>109</v>
      </c>
      <c r="L76">
        <v>23.74</v>
      </c>
      <c r="M76">
        <v>234.2</v>
      </c>
      <c r="N76">
        <v>121</v>
      </c>
      <c r="O76">
        <v>10.54</v>
      </c>
      <c r="P76">
        <v>2</v>
      </c>
      <c r="Q76">
        <v>2</v>
      </c>
      <c r="R76">
        <v>0.54</v>
      </c>
      <c r="S76">
        <v>1</v>
      </c>
      <c r="T76" t="b">
        <v>1</v>
      </c>
      <c r="U76" t="str">
        <f t="shared" si="5"/>
        <v>High Usage</v>
      </c>
      <c r="V76" t="str">
        <f t="shared" si="6"/>
        <v>Normal</v>
      </c>
      <c r="W76" t="str">
        <f t="shared" si="7"/>
        <v>Stable</v>
      </c>
      <c r="X76" t="str">
        <f t="shared" si="8"/>
        <v>Low</v>
      </c>
      <c r="Y76">
        <f t="shared" si="9"/>
        <v>94</v>
      </c>
    </row>
    <row r="77" spans="1:25">
      <c r="A77" t="s">
        <v>59</v>
      </c>
      <c r="B77">
        <v>96</v>
      </c>
      <c r="C77">
        <v>408</v>
      </c>
      <c r="D77" t="s">
        <v>21</v>
      </c>
      <c r="E77" t="s">
        <v>27</v>
      </c>
      <c r="F77">
        <v>26</v>
      </c>
      <c r="G77">
        <v>145.80000000000001</v>
      </c>
      <c r="H77">
        <v>108</v>
      </c>
      <c r="I77">
        <v>24.79</v>
      </c>
      <c r="J77">
        <v>192.2</v>
      </c>
      <c r="K77">
        <v>89</v>
      </c>
      <c r="L77">
        <v>16.34</v>
      </c>
      <c r="M77">
        <v>165.1</v>
      </c>
      <c r="N77">
        <v>96</v>
      </c>
      <c r="O77">
        <v>7.43</v>
      </c>
      <c r="P77">
        <v>9.9</v>
      </c>
      <c r="Q77">
        <v>2</v>
      </c>
      <c r="R77">
        <v>2.67</v>
      </c>
      <c r="S77">
        <v>1</v>
      </c>
      <c r="T77" t="b">
        <v>0</v>
      </c>
      <c r="U77" t="str">
        <f t="shared" si="5"/>
        <v>Normal Usage</v>
      </c>
      <c r="V77" t="str">
        <f t="shared" si="6"/>
        <v>Normal</v>
      </c>
      <c r="W77" t="str">
        <f t="shared" si="7"/>
        <v>Stable</v>
      </c>
      <c r="X77" t="str">
        <f t="shared" si="8"/>
        <v>Low</v>
      </c>
      <c r="Y77">
        <f t="shared" si="9"/>
        <v>96</v>
      </c>
    </row>
    <row r="78" spans="1:25">
      <c r="A78" t="s">
        <v>60</v>
      </c>
      <c r="B78">
        <v>64</v>
      </c>
      <c r="C78">
        <v>415</v>
      </c>
      <c r="D78" t="s">
        <v>21</v>
      </c>
      <c r="E78" t="s">
        <v>21</v>
      </c>
      <c r="F78">
        <v>0</v>
      </c>
      <c r="G78">
        <v>97.2</v>
      </c>
      <c r="H78">
        <v>80</v>
      </c>
      <c r="I78">
        <v>16.52</v>
      </c>
      <c r="J78">
        <v>186.2</v>
      </c>
      <c r="K78">
        <v>90</v>
      </c>
      <c r="L78">
        <v>15.83</v>
      </c>
      <c r="M78">
        <v>189</v>
      </c>
      <c r="N78">
        <v>92</v>
      </c>
      <c r="O78">
        <v>8.5</v>
      </c>
      <c r="P78">
        <v>10.4</v>
      </c>
      <c r="Q78">
        <v>6</v>
      </c>
      <c r="R78">
        <v>2.81</v>
      </c>
      <c r="S78">
        <v>2</v>
      </c>
      <c r="T78" t="b">
        <v>0</v>
      </c>
      <c r="U78" t="str">
        <f t="shared" si="5"/>
        <v>Normal Usage</v>
      </c>
      <c r="V78" t="str">
        <f t="shared" si="6"/>
        <v>Normal</v>
      </c>
      <c r="W78" t="str">
        <f t="shared" si="7"/>
        <v>Stable</v>
      </c>
      <c r="X78" t="str">
        <f t="shared" si="8"/>
        <v>Low</v>
      </c>
      <c r="Y78">
        <f t="shared" si="9"/>
        <v>64</v>
      </c>
    </row>
    <row r="79" spans="1:25">
      <c r="A79" t="s">
        <v>41</v>
      </c>
      <c r="B79">
        <v>85</v>
      </c>
      <c r="C79">
        <v>415</v>
      </c>
      <c r="D79" t="s">
        <v>21</v>
      </c>
      <c r="E79" t="s">
        <v>21</v>
      </c>
      <c r="F79">
        <v>0</v>
      </c>
      <c r="G79">
        <v>259.8</v>
      </c>
      <c r="H79">
        <v>85</v>
      </c>
      <c r="I79">
        <v>44.17</v>
      </c>
      <c r="J79">
        <v>242.3</v>
      </c>
      <c r="K79">
        <v>117</v>
      </c>
      <c r="L79">
        <v>20.6</v>
      </c>
      <c r="M79">
        <v>168.8</v>
      </c>
      <c r="N79">
        <v>72</v>
      </c>
      <c r="O79">
        <v>7.6</v>
      </c>
      <c r="P79">
        <v>5.4</v>
      </c>
      <c r="Q79">
        <v>1</v>
      </c>
      <c r="R79">
        <v>1.46</v>
      </c>
      <c r="S79">
        <v>0</v>
      </c>
      <c r="T79" t="b">
        <v>0</v>
      </c>
      <c r="U79" t="str">
        <f t="shared" si="5"/>
        <v>High Usage</v>
      </c>
      <c r="V79" t="str">
        <f t="shared" si="6"/>
        <v>Normal</v>
      </c>
      <c r="W79" t="str">
        <f t="shared" si="7"/>
        <v>Potential Churn</v>
      </c>
      <c r="X79" t="str">
        <f t="shared" si="8"/>
        <v>Low</v>
      </c>
      <c r="Y79">
        <f t="shared" si="9"/>
        <v>85</v>
      </c>
    </row>
    <row r="80" spans="1:25">
      <c r="A80" t="s">
        <v>38</v>
      </c>
      <c r="B80">
        <v>117</v>
      </c>
      <c r="C80">
        <v>408</v>
      </c>
      <c r="D80" t="s">
        <v>21</v>
      </c>
      <c r="E80" t="s">
        <v>21</v>
      </c>
      <c r="F80">
        <v>0</v>
      </c>
      <c r="G80">
        <v>239.9</v>
      </c>
      <c r="H80">
        <v>84</v>
      </c>
      <c r="I80">
        <v>40.78</v>
      </c>
      <c r="J80">
        <v>174.8</v>
      </c>
      <c r="K80">
        <v>106</v>
      </c>
      <c r="L80">
        <v>14.86</v>
      </c>
      <c r="M80">
        <v>209.5</v>
      </c>
      <c r="N80">
        <v>93</v>
      </c>
      <c r="O80">
        <v>9.43</v>
      </c>
      <c r="P80">
        <v>9.8000000000000007</v>
      </c>
      <c r="Q80">
        <v>2</v>
      </c>
      <c r="R80">
        <v>2.65</v>
      </c>
      <c r="S80">
        <v>0</v>
      </c>
      <c r="T80" t="b">
        <v>0</v>
      </c>
      <c r="U80" t="str">
        <f t="shared" si="5"/>
        <v>High Usage</v>
      </c>
      <c r="V80" t="str">
        <f t="shared" si="6"/>
        <v>Normal</v>
      </c>
      <c r="W80" t="str">
        <f t="shared" si="7"/>
        <v>Stable</v>
      </c>
      <c r="X80" t="str">
        <f t="shared" si="8"/>
        <v>Low</v>
      </c>
      <c r="Y80">
        <f t="shared" si="9"/>
        <v>117</v>
      </c>
    </row>
    <row r="81" spans="1:25">
      <c r="A81" t="s">
        <v>61</v>
      </c>
      <c r="B81">
        <v>112</v>
      </c>
      <c r="C81">
        <v>415</v>
      </c>
      <c r="D81" t="s">
        <v>21</v>
      </c>
      <c r="E81" t="s">
        <v>27</v>
      </c>
      <c r="F81">
        <v>16</v>
      </c>
      <c r="G81">
        <v>221.6</v>
      </c>
      <c r="H81">
        <v>110</v>
      </c>
      <c r="I81">
        <v>37.67</v>
      </c>
      <c r="J81">
        <v>130.19999999999999</v>
      </c>
      <c r="K81">
        <v>123</v>
      </c>
      <c r="L81">
        <v>11.07</v>
      </c>
      <c r="M81">
        <v>200</v>
      </c>
      <c r="N81">
        <v>108</v>
      </c>
      <c r="O81">
        <v>9</v>
      </c>
      <c r="P81">
        <v>11.3</v>
      </c>
      <c r="Q81">
        <v>3</v>
      </c>
      <c r="R81">
        <v>3.05</v>
      </c>
      <c r="S81">
        <v>1</v>
      </c>
      <c r="T81" t="b">
        <v>0</v>
      </c>
      <c r="U81" t="str">
        <f t="shared" si="5"/>
        <v>High Usage</v>
      </c>
      <c r="V81" t="str">
        <f t="shared" si="6"/>
        <v>Normal</v>
      </c>
      <c r="W81" t="str">
        <f t="shared" si="7"/>
        <v>Stable</v>
      </c>
      <c r="X81" t="str">
        <f t="shared" si="8"/>
        <v>Low</v>
      </c>
      <c r="Y81">
        <f t="shared" si="9"/>
        <v>112</v>
      </c>
    </row>
    <row r="82" spans="1:25">
      <c r="A82" t="s">
        <v>35</v>
      </c>
      <c r="B82">
        <v>129</v>
      </c>
      <c r="C82">
        <v>510</v>
      </c>
      <c r="D82" t="s">
        <v>27</v>
      </c>
      <c r="E82" t="s">
        <v>21</v>
      </c>
      <c r="F82">
        <v>0</v>
      </c>
      <c r="G82">
        <v>192.9</v>
      </c>
      <c r="H82">
        <v>131</v>
      </c>
      <c r="I82">
        <v>32.79</v>
      </c>
      <c r="J82">
        <v>185.5</v>
      </c>
      <c r="K82">
        <v>101</v>
      </c>
      <c r="L82">
        <v>15.77</v>
      </c>
      <c r="M82">
        <v>205.2</v>
      </c>
      <c r="N82">
        <v>130</v>
      </c>
      <c r="O82">
        <v>9.23</v>
      </c>
      <c r="P82">
        <v>10.9</v>
      </c>
      <c r="Q82">
        <v>4</v>
      </c>
      <c r="R82">
        <v>2.94</v>
      </c>
      <c r="S82">
        <v>1</v>
      </c>
      <c r="T82" t="b">
        <v>0</v>
      </c>
      <c r="U82" t="str">
        <f t="shared" si="5"/>
        <v>Normal Usage</v>
      </c>
      <c r="V82" t="str">
        <f t="shared" si="6"/>
        <v>Normal</v>
      </c>
      <c r="W82" t="str">
        <f t="shared" si="7"/>
        <v>Stable</v>
      </c>
      <c r="X82" t="str">
        <f t="shared" si="8"/>
        <v>Low</v>
      </c>
      <c r="Y82">
        <f t="shared" si="9"/>
        <v>129</v>
      </c>
    </row>
    <row r="83" spans="1:25">
      <c r="A83" t="s">
        <v>38</v>
      </c>
      <c r="B83">
        <v>140</v>
      </c>
      <c r="C83">
        <v>408</v>
      </c>
      <c r="D83" t="s">
        <v>21</v>
      </c>
      <c r="E83" t="s">
        <v>21</v>
      </c>
      <c r="F83">
        <v>0</v>
      </c>
      <c r="G83">
        <v>173.2</v>
      </c>
      <c r="H83">
        <v>91</v>
      </c>
      <c r="I83">
        <v>29.44</v>
      </c>
      <c r="J83">
        <v>196.8</v>
      </c>
      <c r="K83">
        <v>106</v>
      </c>
      <c r="L83">
        <v>16.73</v>
      </c>
      <c r="M83">
        <v>209.3</v>
      </c>
      <c r="N83">
        <v>128</v>
      </c>
      <c r="O83">
        <v>9.42</v>
      </c>
      <c r="P83">
        <v>11.2</v>
      </c>
      <c r="Q83">
        <v>5</v>
      </c>
      <c r="R83">
        <v>3.02</v>
      </c>
      <c r="S83">
        <v>3</v>
      </c>
      <c r="T83" t="b">
        <v>0</v>
      </c>
      <c r="U83" t="str">
        <f t="shared" si="5"/>
        <v>Normal Usage</v>
      </c>
      <c r="V83" t="str">
        <f t="shared" si="6"/>
        <v>Normal</v>
      </c>
      <c r="W83" t="str">
        <f t="shared" si="7"/>
        <v>Stable</v>
      </c>
      <c r="X83" t="str">
        <f t="shared" si="8"/>
        <v>Medium</v>
      </c>
      <c r="Y83">
        <f t="shared" si="9"/>
        <v>140</v>
      </c>
    </row>
    <row r="84" spans="1:25">
      <c r="A84" t="s">
        <v>28</v>
      </c>
      <c r="B84">
        <v>81</v>
      </c>
      <c r="C84">
        <v>415</v>
      </c>
      <c r="D84" t="s">
        <v>21</v>
      </c>
      <c r="E84" t="s">
        <v>21</v>
      </c>
      <c r="F84">
        <v>0</v>
      </c>
      <c r="G84">
        <v>153.5</v>
      </c>
      <c r="H84">
        <v>99</v>
      </c>
      <c r="I84">
        <v>26.1</v>
      </c>
      <c r="J84">
        <v>197.6</v>
      </c>
      <c r="K84">
        <v>102</v>
      </c>
      <c r="L84">
        <v>16.8</v>
      </c>
      <c r="M84">
        <v>198.5</v>
      </c>
      <c r="N84">
        <v>86</v>
      </c>
      <c r="O84">
        <v>8.93</v>
      </c>
      <c r="P84">
        <v>6.3</v>
      </c>
      <c r="Q84">
        <v>2</v>
      </c>
      <c r="R84">
        <v>1.7</v>
      </c>
      <c r="S84">
        <v>2</v>
      </c>
      <c r="T84" t="b">
        <v>0</v>
      </c>
      <c r="U84" t="str">
        <f t="shared" si="5"/>
        <v>Normal Usage</v>
      </c>
      <c r="V84" t="str">
        <f t="shared" si="6"/>
        <v>Normal</v>
      </c>
      <c r="W84" t="str">
        <f t="shared" si="7"/>
        <v>Stable</v>
      </c>
      <c r="X84" t="str">
        <f t="shared" si="8"/>
        <v>Low</v>
      </c>
      <c r="Y84">
        <f t="shared" si="9"/>
        <v>81</v>
      </c>
    </row>
    <row r="85" spans="1:25">
      <c r="A85" t="s">
        <v>48</v>
      </c>
      <c r="B85">
        <v>70</v>
      </c>
      <c r="C85">
        <v>510</v>
      </c>
      <c r="D85" t="s">
        <v>21</v>
      </c>
      <c r="E85" t="s">
        <v>21</v>
      </c>
      <c r="F85">
        <v>0</v>
      </c>
      <c r="G85">
        <v>59.5</v>
      </c>
      <c r="H85">
        <v>103</v>
      </c>
      <c r="I85">
        <v>10.119999999999999</v>
      </c>
      <c r="J85">
        <v>257.2</v>
      </c>
      <c r="K85">
        <v>106</v>
      </c>
      <c r="L85">
        <v>21.86</v>
      </c>
      <c r="M85">
        <v>208.3</v>
      </c>
      <c r="N85">
        <v>86</v>
      </c>
      <c r="O85">
        <v>9.3699999999999992</v>
      </c>
      <c r="P85">
        <v>11.1</v>
      </c>
      <c r="Q85">
        <v>6</v>
      </c>
      <c r="R85">
        <v>3</v>
      </c>
      <c r="S85">
        <v>0</v>
      </c>
      <c r="T85" t="b">
        <v>0</v>
      </c>
      <c r="U85" t="str">
        <f t="shared" si="5"/>
        <v>Normal Usage</v>
      </c>
      <c r="V85" t="str">
        <f t="shared" si="6"/>
        <v>Normal</v>
      </c>
      <c r="W85" t="str">
        <f t="shared" si="7"/>
        <v>Stable</v>
      </c>
      <c r="X85" t="str">
        <f t="shared" si="8"/>
        <v>Low</v>
      </c>
      <c r="Y85">
        <f t="shared" si="9"/>
        <v>70</v>
      </c>
    </row>
    <row r="86" spans="1:25">
      <c r="A86" t="s">
        <v>29</v>
      </c>
      <c r="B86">
        <v>79</v>
      </c>
      <c r="C86">
        <v>510</v>
      </c>
      <c r="D86" t="s">
        <v>21</v>
      </c>
      <c r="E86" t="s">
        <v>27</v>
      </c>
      <c r="F86">
        <v>21</v>
      </c>
      <c r="G86">
        <v>264.3</v>
      </c>
      <c r="H86">
        <v>79</v>
      </c>
      <c r="I86">
        <v>44.93</v>
      </c>
      <c r="J86">
        <v>202.8</v>
      </c>
      <c r="K86">
        <v>118</v>
      </c>
      <c r="L86">
        <v>17.239999999999998</v>
      </c>
      <c r="M86">
        <v>173.4</v>
      </c>
      <c r="N86">
        <v>92</v>
      </c>
      <c r="O86">
        <v>7.8</v>
      </c>
      <c r="P86">
        <v>6.3</v>
      </c>
      <c r="Q86">
        <v>3</v>
      </c>
      <c r="R86">
        <v>1.7</v>
      </c>
      <c r="S86">
        <v>4</v>
      </c>
      <c r="T86" t="b">
        <v>0</v>
      </c>
      <c r="U86" t="str">
        <f t="shared" si="5"/>
        <v>High Usage</v>
      </c>
      <c r="V86" t="str">
        <f t="shared" si="6"/>
        <v>Normal</v>
      </c>
      <c r="W86" t="str">
        <f t="shared" si="7"/>
        <v>Potential Churn</v>
      </c>
      <c r="X86" t="str">
        <f t="shared" si="8"/>
        <v>Medium</v>
      </c>
      <c r="Y86">
        <f t="shared" si="9"/>
        <v>79</v>
      </c>
    </row>
    <row r="87" spans="1:25">
      <c r="A87" t="s">
        <v>44</v>
      </c>
      <c r="B87">
        <v>85</v>
      </c>
      <c r="C87">
        <v>408</v>
      </c>
      <c r="D87" t="s">
        <v>21</v>
      </c>
      <c r="E87" t="s">
        <v>21</v>
      </c>
      <c r="F87">
        <v>0</v>
      </c>
      <c r="G87">
        <v>127.9</v>
      </c>
      <c r="H87">
        <v>107</v>
      </c>
      <c r="I87">
        <v>21.74</v>
      </c>
      <c r="J87">
        <v>271.2</v>
      </c>
      <c r="K87">
        <v>124</v>
      </c>
      <c r="L87">
        <v>23.05</v>
      </c>
      <c r="M87">
        <v>202.2</v>
      </c>
      <c r="N87">
        <v>76</v>
      </c>
      <c r="O87">
        <v>9.1</v>
      </c>
      <c r="P87">
        <v>12.5</v>
      </c>
      <c r="Q87">
        <v>5</v>
      </c>
      <c r="R87">
        <v>3.38</v>
      </c>
      <c r="S87">
        <v>0</v>
      </c>
      <c r="T87" t="b">
        <v>0</v>
      </c>
      <c r="U87" t="str">
        <f t="shared" si="5"/>
        <v>Normal Usage</v>
      </c>
      <c r="V87" t="str">
        <f t="shared" si="6"/>
        <v>Normal</v>
      </c>
      <c r="W87" t="str">
        <f t="shared" si="7"/>
        <v>Stable</v>
      </c>
      <c r="X87" t="str">
        <f t="shared" si="8"/>
        <v>Low</v>
      </c>
      <c r="Y87">
        <f t="shared" si="9"/>
        <v>85</v>
      </c>
    </row>
    <row r="88" spans="1:25">
      <c r="A88" t="s">
        <v>54</v>
      </c>
      <c r="B88">
        <v>91</v>
      </c>
      <c r="C88">
        <v>510</v>
      </c>
      <c r="D88" t="s">
        <v>21</v>
      </c>
      <c r="E88" t="s">
        <v>21</v>
      </c>
      <c r="F88">
        <v>0</v>
      </c>
      <c r="G88">
        <v>149</v>
      </c>
      <c r="H88">
        <v>115</v>
      </c>
      <c r="I88">
        <v>25.33</v>
      </c>
      <c r="J88">
        <v>245.3</v>
      </c>
      <c r="K88">
        <v>105</v>
      </c>
      <c r="L88">
        <v>20.85</v>
      </c>
      <c r="M88">
        <v>260</v>
      </c>
      <c r="N88">
        <v>94</v>
      </c>
      <c r="O88">
        <v>11.7</v>
      </c>
      <c r="P88">
        <v>8.3000000000000007</v>
      </c>
      <c r="Q88">
        <v>3</v>
      </c>
      <c r="R88">
        <v>2.2400000000000002</v>
      </c>
      <c r="S88">
        <v>0</v>
      </c>
      <c r="T88" t="b">
        <v>0</v>
      </c>
      <c r="U88" t="str">
        <f t="shared" si="5"/>
        <v>Normal Usage</v>
      </c>
      <c r="V88" t="str">
        <f t="shared" si="6"/>
        <v>Normal</v>
      </c>
      <c r="W88" t="str">
        <f t="shared" si="7"/>
        <v>Stable</v>
      </c>
      <c r="X88" t="str">
        <f t="shared" si="8"/>
        <v>Low</v>
      </c>
      <c r="Y88">
        <f t="shared" si="9"/>
        <v>91</v>
      </c>
    </row>
    <row r="89" spans="1:25">
      <c r="A89" t="s">
        <v>20</v>
      </c>
      <c r="B89">
        <v>149</v>
      </c>
      <c r="C89">
        <v>415</v>
      </c>
      <c r="D89" t="s">
        <v>21</v>
      </c>
      <c r="E89" t="s">
        <v>27</v>
      </c>
      <c r="F89">
        <v>20</v>
      </c>
      <c r="G89">
        <v>198.9</v>
      </c>
      <c r="H89">
        <v>77</v>
      </c>
      <c r="I89">
        <v>33.81</v>
      </c>
      <c r="J89">
        <v>274</v>
      </c>
      <c r="K89">
        <v>88</v>
      </c>
      <c r="L89">
        <v>23.29</v>
      </c>
      <c r="M89">
        <v>190.7</v>
      </c>
      <c r="N89">
        <v>76</v>
      </c>
      <c r="O89">
        <v>8.58</v>
      </c>
      <c r="P89">
        <v>14.3</v>
      </c>
      <c r="Q89">
        <v>9</v>
      </c>
      <c r="R89">
        <v>3.86</v>
      </c>
      <c r="S89">
        <v>1</v>
      </c>
      <c r="T89" t="b">
        <v>0</v>
      </c>
      <c r="U89" t="str">
        <f t="shared" si="5"/>
        <v>Normal Usage</v>
      </c>
      <c r="V89" t="str">
        <f t="shared" si="6"/>
        <v>Normal</v>
      </c>
      <c r="W89" t="str">
        <f t="shared" si="7"/>
        <v>Stable</v>
      </c>
      <c r="X89" t="str">
        <f t="shared" si="8"/>
        <v>Low</v>
      </c>
      <c r="Y89">
        <f t="shared" si="9"/>
        <v>149</v>
      </c>
    </row>
    <row r="90" spans="1:25">
      <c r="A90" t="s">
        <v>38</v>
      </c>
      <c r="B90">
        <v>60</v>
      </c>
      <c r="C90">
        <v>415</v>
      </c>
      <c r="D90" t="s">
        <v>21</v>
      </c>
      <c r="E90" t="s">
        <v>21</v>
      </c>
      <c r="F90">
        <v>0</v>
      </c>
      <c r="G90">
        <v>98.2</v>
      </c>
      <c r="H90">
        <v>88</v>
      </c>
      <c r="I90">
        <v>16.690000000000001</v>
      </c>
      <c r="J90">
        <v>180.5</v>
      </c>
      <c r="K90">
        <v>69</v>
      </c>
      <c r="L90">
        <v>15.34</v>
      </c>
      <c r="M90">
        <v>223.6</v>
      </c>
      <c r="N90">
        <v>69</v>
      </c>
      <c r="O90">
        <v>10.06</v>
      </c>
      <c r="P90">
        <v>9.3000000000000007</v>
      </c>
      <c r="Q90">
        <v>2</v>
      </c>
      <c r="R90">
        <v>2.5099999999999998</v>
      </c>
      <c r="S90">
        <v>2</v>
      </c>
      <c r="T90" t="b">
        <v>0</v>
      </c>
      <c r="U90" t="str">
        <f t="shared" si="5"/>
        <v>Normal Usage</v>
      </c>
      <c r="V90" t="str">
        <f t="shared" si="6"/>
        <v>Normal</v>
      </c>
      <c r="W90" t="str">
        <f t="shared" si="7"/>
        <v>Stable</v>
      </c>
      <c r="X90" t="str">
        <f t="shared" si="8"/>
        <v>Low</v>
      </c>
      <c r="Y90">
        <f t="shared" si="9"/>
        <v>60</v>
      </c>
    </row>
    <row r="91" spans="1:25">
      <c r="A91" t="s">
        <v>57</v>
      </c>
      <c r="B91">
        <v>115</v>
      </c>
      <c r="C91">
        <v>408</v>
      </c>
      <c r="D91" t="s">
        <v>21</v>
      </c>
      <c r="E91" t="s">
        <v>21</v>
      </c>
      <c r="F91">
        <v>0</v>
      </c>
      <c r="G91">
        <v>147.9</v>
      </c>
      <c r="H91">
        <v>109</v>
      </c>
      <c r="I91">
        <v>25.14</v>
      </c>
      <c r="J91">
        <v>228.4</v>
      </c>
      <c r="K91">
        <v>117</v>
      </c>
      <c r="L91">
        <v>19.41</v>
      </c>
      <c r="M91">
        <v>299.7</v>
      </c>
      <c r="N91">
        <v>90</v>
      </c>
      <c r="O91">
        <v>13.49</v>
      </c>
      <c r="P91">
        <v>9.6</v>
      </c>
      <c r="Q91">
        <v>9</v>
      </c>
      <c r="R91">
        <v>2.59</v>
      </c>
      <c r="S91">
        <v>3</v>
      </c>
      <c r="T91" t="b">
        <v>0</v>
      </c>
      <c r="U91" t="str">
        <f t="shared" si="5"/>
        <v>Normal Usage</v>
      </c>
      <c r="V91" t="str">
        <f t="shared" si="6"/>
        <v>Normal</v>
      </c>
      <c r="W91" t="str">
        <f t="shared" si="7"/>
        <v>Stable</v>
      </c>
      <c r="X91" t="str">
        <f t="shared" si="8"/>
        <v>Medium</v>
      </c>
      <c r="Y91">
        <f t="shared" si="9"/>
        <v>115</v>
      </c>
    </row>
    <row r="92" spans="1:25">
      <c r="A92" t="s">
        <v>42</v>
      </c>
      <c r="B92">
        <v>144</v>
      </c>
      <c r="C92">
        <v>415</v>
      </c>
      <c r="D92" t="s">
        <v>21</v>
      </c>
      <c r="E92" t="s">
        <v>27</v>
      </c>
      <c r="F92">
        <v>18</v>
      </c>
      <c r="G92">
        <v>106.4</v>
      </c>
      <c r="H92">
        <v>109</v>
      </c>
      <c r="I92">
        <v>18.09</v>
      </c>
      <c r="J92">
        <v>108.1</v>
      </c>
      <c r="K92">
        <v>113</v>
      </c>
      <c r="L92">
        <v>9.19</v>
      </c>
      <c r="M92">
        <v>208.4</v>
      </c>
      <c r="N92">
        <v>111</v>
      </c>
      <c r="O92">
        <v>9.3800000000000008</v>
      </c>
      <c r="P92">
        <v>10.1</v>
      </c>
      <c r="Q92">
        <v>5</v>
      </c>
      <c r="R92">
        <v>2.73</v>
      </c>
      <c r="S92">
        <v>1</v>
      </c>
      <c r="T92" t="b">
        <v>0</v>
      </c>
      <c r="U92" t="str">
        <f t="shared" si="5"/>
        <v>Normal Usage</v>
      </c>
      <c r="V92" t="str">
        <f t="shared" si="6"/>
        <v>Normal</v>
      </c>
      <c r="W92" t="str">
        <f t="shared" si="7"/>
        <v>Stable</v>
      </c>
      <c r="X92" t="str">
        <f t="shared" si="8"/>
        <v>Low</v>
      </c>
      <c r="Y92">
        <f t="shared" si="9"/>
        <v>144</v>
      </c>
    </row>
    <row r="93" spans="1:25">
      <c r="A93" t="s">
        <v>38</v>
      </c>
      <c r="B93">
        <v>86</v>
      </c>
      <c r="C93">
        <v>415</v>
      </c>
      <c r="D93" t="s">
        <v>21</v>
      </c>
      <c r="E93" t="s">
        <v>27</v>
      </c>
      <c r="F93">
        <v>32</v>
      </c>
      <c r="G93">
        <v>70.900000000000006</v>
      </c>
      <c r="H93">
        <v>163</v>
      </c>
      <c r="I93">
        <v>12.05</v>
      </c>
      <c r="J93">
        <v>166.7</v>
      </c>
      <c r="K93">
        <v>121</v>
      </c>
      <c r="L93">
        <v>14.17</v>
      </c>
      <c r="M93">
        <v>244.9</v>
      </c>
      <c r="N93">
        <v>105</v>
      </c>
      <c r="O93">
        <v>11.02</v>
      </c>
      <c r="P93">
        <v>11.1</v>
      </c>
      <c r="Q93">
        <v>5</v>
      </c>
      <c r="R93">
        <v>3</v>
      </c>
      <c r="S93">
        <v>3</v>
      </c>
      <c r="T93" t="b">
        <v>0</v>
      </c>
      <c r="U93" t="str">
        <f t="shared" si="5"/>
        <v>Normal Usage</v>
      </c>
      <c r="V93" t="str">
        <f t="shared" si="6"/>
        <v>Normal</v>
      </c>
      <c r="W93" t="str">
        <f t="shared" si="7"/>
        <v>Stable</v>
      </c>
      <c r="X93" t="str">
        <f t="shared" si="8"/>
        <v>Medium</v>
      </c>
      <c r="Y93">
        <f t="shared" si="9"/>
        <v>86</v>
      </c>
    </row>
    <row r="94" spans="1:25">
      <c r="A94" t="s">
        <v>28</v>
      </c>
      <c r="B94">
        <v>139</v>
      </c>
      <c r="C94">
        <v>415</v>
      </c>
      <c r="D94" t="s">
        <v>21</v>
      </c>
      <c r="E94" t="s">
        <v>27</v>
      </c>
      <c r="F94">
        <v>20</v>
      </c>
      <c r="G94">
        <v>214.6</v>
      </c>
      <c r="H94">
        <v>101</v>
      </c>
      <c r="I94">
        <v>36.479999999999997</v>
      </c>
      <c r="J94">
        <v>235.1</v>
      </c>
      <c r="K94">
        <v>132</v>
      </c>
      <c r="L94">
        <v>19.98</v>
      </c>
      <c r="M94">
        <v>162.80000000000001</v>
      </c>
      <c r="N94">
        <v>132</v>
      </c>
      <c r="O94">
        <v>7.33</v>
      </c>
      <c r="P94">
        <v>14.8</v>
      </c>
      <c r="Q94">
        <v>12</v>
      </c>
      <c r="R94">
        <v>4</v>
      </c>
      <c r="S94">
        <v>0</v>
      </c>
      <c r="T94" t="b">
        <v>0</v>
      </c>
      <c r="U94" t="str">
        <f t="shared" si="5"/>
        <v>High Usage</v>
      </c>
      <c r="V94" t="str">
        <f t="shared" si="6"/>
        <v>Normal</v>
      </c>
      <c r="W94" t="str">
        <f t="shared" si="7"/>
        <v>Stable</v>
      </c>
      <c r="X94" t="str">
        <f t="shared" si="8"/>
        <v>Low</v>
      </c>
      <c r="Y94">
        <f t="shared" si="9"/>
        <v>139</v>
      </c>
    </row>
    <row r="95" spans="1:25">
      <c r="A95" t="s">
        <v>60</v>
      </c>
      <c r="B95">
        <v>124</v>
      </c>
      <c r="C95">
        <v>408</v>
      </c>
      <c r="D95" t="s">
        <v>21</v>
      </c>
      <c r="E95" t="s">
        <v>21</v>
      </c>
      <c r="F95">
        <v>0</v>
      </c>
      <c r="G95">
        <v>151.1</v>
      </c>
      <c r="H95">
        <v>123</v>
      </c>
      <c r="I95">
        <v>25.69</v>
      </c>
      <c r="J95">
        <v>187.4</v>
      </c>
      <c r="K95">
        <v>104</v>
      </c>
      <c r="L95">
        <v>15.93</v>
      </c>
      <c r="M95">
        <v>255.4</v>
      </c>
      <c r="N95">
        <v>93</v>
      </c>
      <c r="O95">
        <v>11.49</v>
      </c>
      <c r="P95">
        <v>5.3</v>
      </c>
      <c r="Q95">
        <v>3</v>
      </c>
      <c r="R95">
        <v>1.43</v>
      </c>
      <c r="S95">
        <v>1</v>
      </c>
      <c r="T95" t="b">
        <v>0</v>
      </c>
      <c r="U95" t="str">
        <f t="shared" si="5"/>
        <v>Normal Usage</v>
      </c>
      <c r="V95" t="str">
        <f t="shared" si="6"/>
        <v>Normal</v>
      </c>
      <c r="W95" t="str">
        <f t="shared" si="7"/>
        <v>Stable</v>
      </c>
      <c r="X95" t="str">
        <f t="shared" si="8"/>
        <v>Low</v>
      </c>
      <c r="Y95">
        <f t="shared" si="9"/>
        <v>124</v>
      </c>
    </row>
    <row r="96" spans="1:25">
      <c r="A96" t="s">
        <v>35</v>
      </c>
      <c r="B96">
        <v>102</v>
      </c>
      <c r="C96">
        <v>510</v>
      </c>
      <c r="D96" t="s">
        <v>27</v>
      </c>
      <c r="E96" t="s">
        <v>21</v>
      </c>
      <c r="F96">
        <v>0</v>
      </c>
      <c r="G96">
        <v>233.8</v>
      </c>
      <c r="H96">
        <v>103</v>
      </c>
      <c r="I96">
        <v>39.75</v>
      </c>
      <c r="J96">
        <v>221.6</v>
      </c>
      <c r="K96">
        <v>131</v>
      </c>
      <c r="L96">
        <v>18.84</v>
      </c>
      <c r="M96">
        <v>146.9</v>
      </c>
      <c r="N96">
        <v>106</v>
      </c>
      <c r="O96">
        <v>6.61</v>
      </c>
      <c r="P96">
        <v>12.8</v>
      </c>
      <c r="Q96">
        <v>3</v>
      </c>
      <c r="R96">
        <v>3.46</v>
      </c>
      <c r="S96">
        <v>0</v>
      </c>
      <c r="T96" t="b">
        <v>0</v>
      </c>
      <c r="U96" t="str">
        <f t="shared" si="5"/>
        <v>High Usage</v>
      </c>
      <c r="V96" t="str">
        <f t="shared" si="6"/>
        <v>Normal</v>
      </c>
      <c r="W96" t="str">
        <f t="shared" si="7"/>
        <v>Stable</v>
      </c>
      <c r="X96" t="str">
        <f t="shared" si="8"/>
        <v>Low</v>
      </c>
      <c r="Y96">
        <f t="shared" si="9"/>
        <v>102</v>
      </c>
    </row>
    <row r="97" spans="1:25">
      <c r="A97" t="s">
        <v>22</v>
      </c>
      <c r="B97">
        <v>78</v>
      </c>
      <c r="C97">
        <v>415</v>
      </c>
      <c r="D97" t="s">
        <v>21</v>
      </c>
      <c r="E97" t="s">
        <v>21</v>
      </c>
      <c r="F97">
        <v>0</v>
      </c>
      <c r="G97">
        <v>208.9</v>
      </c>
      <c r="H97">
        <v>119</v>
      </c>
      <c r="I97">
        <v>35.51</v>
      </c>
      <c r="J97">
        <v>252.4</v>
      </c>
      <c r="K97">
        <v>132</v>
      </c>
      <c r="L97">
        <v>21.45</v>
      </c>
      <c r="M97">
        <v>280.2</v>
      </c>
      <c r="N97">
        <v>120</v>
      </c>
      <c r="O97">
        <v>12.61</v>
      </c>
      <c r="P97">
        <v>12.8</v>
      </c>
      <c r="Q97">
        <v>7</v>
      </c>
      <c r="R97">
        <v>3.46</v>
      </c>
      <c r="S97">
        <v>0</v>
      </c>
      <c r="T97" t="b">
        <v>0</v>
      </c>
      <c r="U97" t="str">
        <f t="shared" si="5"/>
        <v>High Usage</v>
      </c>
      <c r="V97" t="str">
        <f t="shared" si="6"/>
        <v>Normal</v>
      </c>
      <c r="W97" t="str">
        <f t="shared" si="7"/>
        <v>Stable</v>
      </c>
      <c r="X97" t="str">
        <f t="shared" si="8"/>
        <v>Low</v>
      </c>
      <c r="Y97">
        <f t="shared" si="9"/>
        <v>78</v>
      </c>
    </row>
    <row r="98" spans="1:25">
      <c r="A98" t="s">
        <v>44</v>
      </c>
      <c r="B98">
        <v>55</v>
      </c>
      <c r="C98">
        <v>415</v>
      </c>
      <c r="D98" t="s">
        <v>27</v>
      </c>
      <c r="E98" t="s">
        <v>21</v>
      </c>
      <c r="F98">
        <v>0</v>
      </c>
      <c r="G98">
        <v>191.9</v>
      </c>
      <c r="H98">
        <v>91</v>
      </c>
      <c r="I98">
        <v>32.619999999999997</v>
      </c>
      <c r="J98">
        <v>256.10000000000002</v>
      </c>
      <c r="K98">
        <v>110</v>
      </c>
      <c r="L98">
        <v>21.77</v>
      </c>
      <c r="M98">
        <v>203.7</v>
      </c>
      <c r="N98">
        <v>101</v>
      </c>
      <c r="O98">
        <v>9.17</v>
      </c>
      <c r="P98">
        <v>14.3</v>
      </c>
      <c r="Q98">
        <v>6</v>
      </c>
      <c r="R98">
        <v>3.86</v>
      </c>
      <c r="S98">
        <v>1</v>
      </c>
      <c r="T98" t="b">
        <v>1</v>
      </c>
      <c r="U98" t="str">
        <f t="shared" si="5"/>
        <v>Normal Usage</v>
      </c>
      <c r="V98" t="str">
        <f t="shared" si="6"/>
        <v>Normal</v>
      </c>
      <c r="W98" t="str">
        <f t="shared" si="7"/>
        <v>Stable</v>
      </c>
      <c r="X98" t="str">
        <f t="shared" si="8"/>
        <v>Low</v>
      </c>
      <c r="Y98">
        <f t="shared" si="9"/>
        <v>55</v>
      </c>
    </row>
    <row r="99" spans="1:25">
      <c r="A99" t="s">
        <v>57</v>
      </c>
      <c r="B99">
        <v>129</v>
      </c>
      <c r="C99">
        <v>415</v>
      </c>
      <c r="D99" t="s">
        <v>21</v>
      </c>
      <c r="E99" t="s">
        <v>27</v>
      </c>
      <c r="F99">
        <v>33</v>
      </c>
      <c r="G99">
        <v>119.6</v>
      </c>
      <c r="H99">
        <v>104</v>
      </c>
      <c r="I99">
        <v>20.329999999999998</v>
      </c>
      <c r="J99">
        <v>278.7</v>
      </c>
      <c r="K99">
        <v>88</v>
      </c>
      <c r="L99">
        <v>23.69</v>
      </c>
      <c r="M99">
        <v>263.39999999999998</v>
      </c>
      <c r="N99">
        <v>175</v>
      </c>
      <c r="O99">
        <v>11.85</v>
      </c>
      <c r="P99">
        <v>5.9</v>
      </c>
      <c r="Q99">
        <v>2</v>
      </c>
      <c r="R99">
        <v>1.59</v>
      </c>
      <c r="S99">
        <v>2</v>
      </c>
      <c r="T99" t="b">
        <v>0</v>
      </c>
      <c r="U99" t="str">
        <f t="shared" si="5"/>
        <v>Normal Usage</v>
      </c>
      <c r="V99" t="str">
        <f t="shared" si="6"/>
        <v>Normal</v>
      </c>
      <c r="W99" t="str">
        <f t="shared" si="7"/>
        <v>Stable</v>
      </c>
      <c r="X99" t="str">
        <f t="shared" si="8"/>
        <v>Low</v>
      </c>
      <c r="Y99">
        <f t="shared" si="9"/>
        <v>129</v>
      </c>
    </row>
    <row r="100" spans="1:25">
      <c r="A100" t="s">
        <v>62</v>
      </c>
      <c r="B100">
        <v>75</v>
      </c>
      <c r="C100">
        <v>408</v>
      </c>
      <c r="D100" t="s">
        <v>27</v>
      </c>
      <c r="E100" t="s">
        <v>21</v>
      </c>
      <c r="F100">
        <v>0</v>
      </c>
      <c r="G100">
        <v>211.3</v>
      </c>
      <c r="H100">
        <v>61</v>
      </c>
      <c r="I100">
        <v>35.92</v>
      </c>
      <c r="J100">
        <v>105.6</v>
      </c>
      <c r="K100">
        <v>119</v>
      </c>
      <c r="L100">
        <v>8.98</v>
      </c>
      <c r="M100">
        <v>175.9</v>
      </c>
      <c r="N100">
        <v>63</v>
      </c>
      <c r="O100">
        <v>7.92</v>
      </c>
      <c r="P100">
        <v>9.6999999999999993</v>
      </c>
      <c r="Q100">
        <v>4</v>
      </c>
      <c r="R100">
        <v>2.62</v>
      </c>
      <c r="S100">
        <v>4</v>
      </c>
      <c r="T100" t="b">
        <v>1</v>
      </c>
      <c r="U100" t="str">
        <f t="shared" si="5"/>
        <v>High Usage</v>
      </c>
      <c r="V100" t="str">
        <f t="shared" si="6"/>
        <v>High Risk</v>
      </c>
      <c r="W100" t="str">
        <f t="shared" si="7"/>
        <v>Potential Churn</v>
      </c>
      <c r="X100" t="str">
        <f t="shared" si="8"/>
        <v>Medium</v>
      </c>
      <c r="Y100">
        <f t="shared" si="9"/>
        <v>75</v>
      </c>
    </row>
    <row r="101" spans="1:25">
      <c r="A101" t="s">
        <v>54</v>
      </c>
      <c r="B101">
        <v>126</v>
      </c>
      <c r="C101">
        <v>415</v>
      </c>
      <c r="D101" t="s">
        <v>21</v>
      </c>
      <c r="E101" t="s">
        <v>27</v>
      </c>
      <c r="F101">
        <v>23</v>
      </c>
      <c r="G101">
        <v>114.3</v>
      </c>
      <c r="H101">
        <v>102</v>
      </c>
      <c r="I101">
        <v>19.43</v>
      </c>
      <c r="J101">
        <v>190.3</v>
      </c>
      <c r="K101">
        <v>103</v>
      </c>
      <c r="L101">
        <v>16.18</v>
      </c>
      <c r="M101">
        <v>240.4</v>
      </c>
      <c r="N101">
        <v>111</v>
      </c>
      <c r="O101">
        <v>10.82</v>
      </c>
      <c r="P101">
        <v>12.6</v>
      </c>
      <c r="Q101">
        <v>7</v>
      </c>
      <c r="R101">
        <v>3.4</v>
      </c>
      <c r="S101">
        <v>3</v>
      </c>
      <c r="T101" t="b">
        <v>0</v>
      </c>
      <c r="U101" t="str">
        <f t="shared" si="5"/>
        <v>Normal Usage</v>
      </c>
      <c r="V101" t="str">
        <f t="shared" si="6"/>
        <v>Normal</v>
      </c>
      <c r="W101" t="str">
        <f t="shared" si="7"/>
        <v>Stable</v>
      </c>
      <c r="X101" t="str">
        <f t="shared" si="8"/>
        <v>Medium</v>
      </c>
      <c r="Y101">
        <f t="shared" si="9"/>
        <v>126</v>
      </c>
    </row>
    <row r="102" spans="1:25">
      <c r="A102" t="s">
        <v>43</v>
      </c>
      <c r="B102">
        <v>92</v>
      </c>
      <c r="C102">
        <v>415</v>
      </c>
      <c r="D102" t="s">
        <v>21</v>
      </c>
      <c r="E102" t="s">
        <v>21</v>
      </c>
      <c r="F102">
        <v>0</v>
      </c>
      <c r="G102">
        <v>154</v>
      </c>
      <c r="H102">
        <v>122</v>
      </c>
      <c r="I102">
        <v>26.18</v>
      </c>
      <c r="J102">
        <v>329.8</v>
      </c>
      <c r="K102">
        <v>88</v>
      </c>
      <c r="L102">
        <v>28.03</v>
      </c>
      <c r="M102">
        <v>288</v>
      </c>
      <c r="N102">
        <v>117</v>
      </c>
      <c r="O102">
        <v>12.96</v>
      </c>
      <c r="P102">
        <v>5.6</v>
      </c>
      <c r="Q102">
        <v>2</v>
      </c>
      <c r="R102">
        <v>1.51</v>
      </c>
      <c r="S102">
        <v>3</v>
      </c>
      <c r="T102" t="b">
        <v>1</v>
      </c>
      <c r="U102" t="str">
        <f t="shared" si="5"/>
        <v>Normal Usage</v>
      </c>
      <c r="V102" t="str">
        <f t="shared" si="6"/>
        <v>Normal</v>
      </c>
      <c r="W102" t="str">
        <f t="shared" si="7"/>
        <v>Stable</v>
      </c>
      <c r="X102" t="str">
        <f t="shared" si="8"/>
        <v>Medium</v>
      </c>
      <c r="Y102">
        <f t="shared" si="9"/>
        <v>92</v>
      </c>
    </row>
    <row r="103" spans="1:25">
      <c r="A103" t="s">
        <v>55</v>
      </c>
      <c r="B103">
        <v>52</v>
      </c>
      <c r="C103">
        <v>408</v>
      </c>
      <c r="D103" t="s">
        <v>21</v>
      </c>
      <c r="E103" t="s">
        <v>21</v>
      </c>
      <c r="F103">
        <v>0</v>
      </c>
      <c r="G103">
        <v>214.7</v>
      </c>
      <c r="H103">
        <v>68</v>
      </c>
      <c r="I103">
        <v>36.5</v>
      </c>
      <c r="J103">
        <v>158.6</v>
      </c>
      <c r="K103">
        <v>138</v>
      </c>
      <c r="L103">
        <v>13.48</v>
      </c>
      <c r="M103">
        <v>123.4</v>
      </c>
      <c r="N103">
        <v>114</v>
      </c>
      <c r="O103">
        <v>5.55</v>
      </c>
      <c r="P103">
        <v>9.4</v>
      </c>
      <c r="Q103">
        <v>4</v>
      </c>
      <c r="R103">
        <v>2.54</v>
      </c>
      <c r="S103">
        <v>2</v>
      </c>
      <c r="T103" t="b">
        <v>0</v>
      </c>
      <c r="U103" t="str">
        <f t="shared" si="5"/>
        <v>High Usage</v>
      </c>
      <c r="V103" t="str">
        <f t="shared" si="6"/>
        <v>Normal</v>
      </c>
      <c r="W103" t="str">
        <f t="shared" si="7"/>
        <v>Stable</v>
      </c>
      <c r="X103" t="str">
        <f t="shared" si="8"/>
        <v>Low</v>
      </c>
      <c r="Y103">
        <f t="shared" si="9"/>
        <v>52</v>
      </c>
    </row>
    <row r="104" spans="1:25">
      <c r="A104" t="s">
        <v>63</v>
      </c>
      <c r="B104">
        <v>87</v>
      </c>
      <c r="C104">
        <v>510</v>
      </c>
      <c r="D104" t="s">
        <v>21</v>
      </c>
      <c r="E104" t="s">
        <v>21</v>
      </c>
      <c r="F104">
        <v>0</v>
      </c>
      <c r="G104">
        <v>231.3</v>
      </c>
      <c r="H104">
        <v>105</v>
      </c>
      <c r="I104">
        <v>39.32</v>
      </c>
      <c r="J104">
        <v>171.7</v>
      </c>
      <c r="K104">
        <v>108</v>
      </c>
      <c r="L104">
        <v>14.59</v>
      </c>
      <c r="M104">
        <v>67.7</v>
      </c>
      <c r="N104">
        <v>136</v>
      </c>
      <c r="O104">
        <v>3.05</v>
      </c>
      <c r="P104">
        <v>13</v>
      </c>
      <c r="Q104">
        <v>6</v>
      </c>
      <c r="R104">
        <v>3.51</v>
      </c>
      <c r="S104">
        <v>1</v>
      </c>
      <c r="T104" t="b">
        <v>0</v>
      </c>
      <c r="U104" t="str">
        <f t="shared" si="5"/>
        <v>High Usage</v>
      </c>
      <c r="V104" t="str">
        <f t="shared" si="6"/>
        <v>Normal</v>
      </c>
      <c r="W104" t="str">
        <f t="shared" si="7"/>
        <v>Stable</v>
      </c>
      <c r="X104" t="str">
        <f t="shared" si="8"/>
        <v>Low</v>
      </c>
      <c r="Y104">
        <f t="shared" si="9"/>
        <v>87</v>
      </c>
    </row>
    <row r="105" spans="1:25">
      <c r="A105" t="s">
        <v>64</v>
      </c>
      <c r="B105">
        <v>95</v>
      </c>
      <c r="C105">
        <v>415</v>
      </c>
      <c r="D105" t="s">
        <v>21</v>
      </c>
      <c r="E105" t="s">
        <v>27</v>
      </c>
      <c r="F105">
        <v>22</v>
      </c>
      <c r="G105">
        <v>40.9</v>
      </c>
      <c r="H105">
        <v>126</v>
      </c>
      <c r="I105">
        <v>6.95</v>
      </c>
      <c r="J105">
        <v>133.4</v>
      </c>
      <c r="K105">
        <v>90</v>
      </c>
      <c r="L105">
        <v>11.34</v>
      </c>
      <c r="M105">
        <v>264.2</v>
      </c>
      <c r="N105">
        <v>91</v>
      </c>
      <c r="O105">
        <v>11.89</v>
      </c>
      <c r="P105">
        <v>11.9</v>
      </c>
      <c r="Q105">
        <v>7</v>
      </c>
      <c r="R105">
        <v>3.21</v>
      </c>
      <c r="S105">
        <v>0</v>
      </c>
      <c r="T105" t="b">
        <v>0</v>
      </c>
      <c r="U105" t="str">
        <f t="shared" si="5"/>
        <v>Normal Usage</v>
      </c>
      <c r="V105" t="str">
        <f t="shared" si="6"/>
        <v>Normal</v>
      </c>
      <c r="W105" t="str">
        <f t="shared" si="7"/>
        <v>Stable</v>
      </c>
      <c r="X105" t="str">
        <f t="shared" si="8"/>
        <v>Low</v>
      </c>
      <c r="Y105">
        <f t="shared" si="9"/>
        <v>95</v>
      </c>
    </row>
    <row r="106" spans="1:25">
      <c r="A106" t="s">
        <v>20</v>
      </c>
      <c r="B106">
        <v>67</v>
      </c>
      <c r="C106">
        <v>510</v>
      </c>
      <c r="D106" t="s">
        <v>21</v>
      </c>
      <c r="E106" t="s">
        <v>21</v>
      </c>
      <c r="F106">
        <v>0</v>
      </c>
      <c r="G106">
        <v>310.39999999999998</v>
      </c>
      <c r="H106">
        <v>97</v>
      </c>
      <c r="I106">
        <v>52.77</v>
      </c>
      <c r="J106">
        <v>66.5</v>
      </c>
      <c r="K106">
        <v>123</v>
      </c>
      <c r="L106">
        <v>5.65</v>
      </c>
      <c r="M106">
        <v>246.5</v>
      </c>
      <c r="N106">
        <v>99</v>
      </c>
      <c r="O106">
        <v>11.09</v>
      </c>
      <c r="P106">
        <v>9.1999999999999993</v>
      </c>
      <c r="Q106">
        <v>10</v>
      </c>
      <c r="R106">
        <v>2.48</v>
      </c>
      <c r="S106">
        <v>4</v>
      </c>
      <c r="T106" t="b">
        <v>0</v>
      </c>
      <c r="U106" t="str">
        <f t="shared" si="5"/>
        <v>High Usage</v>
      </c>
      <c r="V106" t="str">
        <f t="shared" si="6"/>
        <v>Normal</v>
      </c>
      <c r="W106" t="str">
        <f t="shared" si="7"/>
        <v>Potential Churn</v>
      </c>
      <c r="X106" t="str">
        <f t="shared" si="8"/>
        <v>Medium</v>
      </c>
      <c r="Y106">
        <f t="shared" si="9"/>
        <v>67</v>
      </c>
    </row>
    <row r="107" spans="1:25">
      <c r="A107" t="s">
        <v>47</v>
      </c>
      <c r="B107">
        <v>165</v>
      </c>
      <c r="C107">
        <v>415</v>
      </c>
      <c r="D107" t="s">
        <v>21</v>
      </c>
      <c r="E107" t="s">
        <v>21</v>
      </c>
      <c r="F107">
        <v>0</v>
      </c>
      <c r="G107">
        <v>216.6</v>
      </c>
      <c r="H107">
        <v>126</v>
      </c>
      <c r="I107">
        <v>36.82</v>
      </c>
      <c r="J107">
        <v>190.8</v>
      </c>
      <c r="K107">
        <v>104</v>
      </c>
      <c r="L107">
        <v>16.22</v>
      </c>
      <c r="M107">
        <v>224.7</v>
      </c>
      <c r="N107">
        <v>123</v>
      </c>
      <c r="O107">
        <v>10.11</v>
      </c>
      <c r="P107">
        <v>12.4</v>
      </c>
      <c r="Q107">
        <v>8</v>
      </c>
      <c r="R107">
        <v>3.35</v>
      </c>
      <c r="S107">
        <v>0</v>
      </c>
      <c r="T107" t="b">
        <v>0</v>
      </c>
      <c r="U107" t="str">
        <f t="shared" si="5"/>
        <v>High Usage</v>
      </c>
      <c r="V107" t="str">
        <f t="shared" si="6"/>
        <v>Normal</v>
      </c>
      <c r="W107" t="str">
        <f t="shared" si="7"/>
        <v>Stable</v>
      </c>
      <c r="X107" t="str">
        <f t="shared" si="8"/>
        <v>Low</v>
      </c>
      <c r="Y107">
        <f t="shared" si="9"/>
        <v>165</v>
      </c>
    </row>
    <row r="108" spans="1:25">
      <c r="A108" t="s">
        <v>57</v>
      </c>
      <c r="B108">
        <v>150</v>
      </c>
      <c r="C108">
        <v>415</v>
      </c>
      <c r="D108" t="s">
        <v>21</v>
      </c>
      <c r="E108" t="s">
        <v>27</v>
      </c>
      <c r="F108">
        <v>29</v>
      </c>
      <c r="G108">
        <v>209.9</v>
      </c>
      <c r="H108">
        <v>77</v>
      </c>
      <c r="I108">
        <v>35.68</v>
      </c>
      <c r="J108">
        <v>158</v>
      </c>
      <c r="K108">
        <v>52</v>
      </c>
      <c r="L108">
        <v>13.43</v>
      </c>
      <c r="M108">
        <v>141.9</v>
      </c>
      <c r="N108">
        <v>113</v>
      </c>
      <c r="O108">
        <v>6.39</v>
      </c>
      <c r="P108">
        <v>6.6</v>
      </c>
      <c r="Q108">
        <v>1</v>
      </c>
      <c r="R108">
        <v>1.78</v>
      </c>
      <c r="S108">
        <v>0</v>
      </c>
      <c r="T108" t="b">
        <v>0</v>
      </c>
      <c r="U108" t="str">
        <f t="shared" si="5"/>
        <v>High Usage</v>
      </c>
      <c r="V108" t="str">
        <f t="shared" si="6"/>
        <v>Normal</v>
      </c>
      <c r="W108" t="str">
        <f t="shared" si="7"/>
        <v>Stable</v>
      </c>
      <c r="X108" t="str">
        <f t="shared" si="8"/>
        <v>Low</v>
      </c>
      <c r="Y108">
        <f t="shared" si="9"/>
        <v>150</v>
      </c>
    </row>
    <row r="109" spans="1:25">
      <c r="A109" t="s">
        <v>53</v>
      </c>
      <c r="B109">
        <v>26</v>
      </c>
      <c r="C109">
        <v>415</v>
      </c>
      <c r="D109" t="s">
        <v>21</v>
      </c>
      <c r="E109" t="s">
        <v>21</v>
      </c>
      <c r="F109">
        <v>0</v>
      </c>
      <c r="G109">
        <v>234.5</v>
      </c>
      <c r="H109">
        <v>109</v>
      </c>
      <c r="I109">
        <v>39.869999999999997</v>
      </c>
      <c r="J109">
        <v>216.5</v>
      </c>
      <c r="K109">
        <v>129</v>
      </c>
      <c r="L109">
        <v>18.399999999999999</v>
      </c>
      <c r="M109">
        <v>191.6</v>
      </c>
      <c r="N109">
        <v>94</v>
      </c>
      <c r="O109">
        <v>8.6199999999999992</v>
      </c>
      <c r="P109">
        <v>3.5</v>
      </c>
      <c r="Q109">
        <v>6</v>
      </c>
      <c r="R109">
        <v>0.95</v>
      </c>
      <c r="S109">
        <v>3</v>
      </c>
      <c r="T109" t="b">
        <v>0</v>
      </c>
      <c r="U109" t="str">
        <f t="shared" si="5"/>
        <v>High Usage</v>
      </c>
      <c r="V109" t="str">
        <f t="shared" si="6"/>
        <v>Normal</v>
      </c>
      <c r="W109" t="str">
        <f t="shared" si="7"/>
        <v>Stable</v>
      </c>
      <c r="X109" t="str">
        <f t="shared" si="8"/>
        <v>Medium</v>
      </c>
      <c r="Y109">
        <f t="shared" si="9"/>
        <v>26</v>
      </c>
    </row>
    <row r="110" spans="1:25">
      <c r="A110" t="s">
        <v>65</v>
      </c>
      <c r="B110">
        <v>79</v>
      </c>
      <c r="C110">
        <v>510</v>
      </c>
      <c r="D110" t="s">
        <v>21</v>
      </c>
      <c r="E110" t="s">
        <v>27</v>
      </c>
      <c r="F110">
        <v>31</v>
      </c>
      <c r="G110">
        <v>103.1</v>
      </c>
      <c r="H110">
        <v>90</v>
      </c>
      <c r="I110">
        <v>17.53</v>
      </c>
      <c r="J110">
        <v>243</v>
      </c>
      <c r="K110">
        <v>135</v>
      </c>
      <c r="L110">
        <v>20.66</v>
      </c>
      <c r="M110">
        <v>76.400000000000006</v>
      </c>
      <c r="N110">
        <v>92</v>
      </c>
      <c r="O110">
        <v>3.44</v>
      </c>
      <c r="P110">
        <v>12.2</v>
      </c>
      <c r="Q110">
        <v>8</v>
      </c>
      <c r="R110">
        <v>3.29</v>
      </c>
      <c r="S110">
        <v>3</v>
      </c>
      <c r="T110" t="b">
        <v>0</v>
      </c>
      <c r="U110" t="str">
        <f t="shared" si="5"/>
        <v>Normal Usage</v>
      </c>
      <c r="V110" t="str">
        <f t="shared" si="6"/>
        <v>Normal</v>
      </c>
      <c r="W110" t="str">
        <f t="shared" si="7"/>
        <v>Stable</v>
      </c>
      <c r="X110" t="str">
        <f t="shared" si="8"/>
        <v>Medium</v>
      </c>
      <c r="Y110">
        <f t="shared" si="9"/>
        <v>79</v>
      </c>
    </row>
    <row r="111" spans="1:25">
      <c r="A111" t="s">
        <v>31</v>
      </c>
      <c r="B111">
        <v>69</v>
      </c>
      <c r="C111">
        <v>510</v>
      </c>
      <c r="D111" t="s">
        <v>27</v>
      </c>
      <c r="E111" t="s">
        <v>21</v>
      </c>
      <c r="F111">
        <v>0</v>
      </c>
      <c r="G111">
        <v>279.8</v>
      </c>
      <c r="H111">
        <v>90</v>
      </c>
      <c r="I111">
        <v>47.57</v>
      </c>
      <c r="J111">
        <v>248.7</v>
      </c>
      <c r="K111">
        <v>91</v>
      </c>
      <c r="L111">
        <v>21.14</v>
      </c>
      <c r="M111">
        <v>171</v>
      </c>
      <c r="N111">
        <v>118</v>
      </c>
      <c r="O111">
        <v>7.69</v>
      </c>
      <c r="P111">
        <v>8.4</v>
      </c>
      <c r="Q111">
        <v>10</v>
      </c>
      <c r="R111">
        <v>2.27</v>
      </c>
      <c r="S111">
        <v>2</v>
      </c>
      <c r="T111" t="b">
        <v>1</v>
      </c>
      <c r="U111" t="str">
        <f t="shared" si="5"/>
        <v>High Usage</v>
      </c>
      <c r="V111" t="str">
        <f t="shared" si="6"/>
        <v>Normal</v>
      </c>
      <c r="W111" t="str">
        <f t="shared" si="7"/>
        <v>Potential Churn</v>
      </c>
      <c r="X111" t="str">
        <f t="shared" si="8"/>
        <v>Low</v>
      </c>
      <c r="Y111">
        <f t="shared" si="9"/>
        <v>69</v>
      </c>
    </row>
    <row r="112" spans="1:25">
      <c r="A112" t="s">
        <v>33</v>
      </c>
      <c r="B112">
        <v>95</v>
      </c>
      <c r="C112">
        <v>510</v>
      </c>
      <c r="D112" t="s">
        <v>27</v>
      </c>
      <c r="E112" t="s">
        <v>27</v>
      </c>
      <c r="F112">
        <v>41</v>
      </c>
      <c r="G112">
        <v>136.80000000000001</v>
      </c>
      <c r="H112">
        <v>91</v>
      </c>
      <c r="I112">
        <v>23.26</v>
      </c>
      <c r="J112">
        <v>200.8</v>
      </c>
      <c r="K112">
        <v>61</v>
      </c>
      <c r="L112">
        <v>17.07</v>
      </c>
      <c r="M112">
        <v>133.69999999999999</v>
      </c>
      <c r="N112">
        <v>67</v>
      </c>
      <c r="O112">
        <v>6.02</v>
      </c>
      <c r="P112">
        <v>10.3</v>
      </c>
      <c r="Q112">
        <v>9</v>
      </c>
      <c r="R112">
        <v>2.78</v>
      </c>
      <c r="S112">
        <v>5</v>
      </c>
      <c r="T112" t="b">
        <v>1</v>
      </c>
      <c r="U112" t="str">
        <f t="shared" si="5"/>
        <v>Normal Usage</v>
      </c>
      <c r="V112" t="str">
        <f t="shared" si="6"/>
        <v>High Risk</v>
      </c>
      <c r="W112" t="str">
        <f t="shared" si="7"/>
        <v>Potential Churn</v>
      </c>
      <c r="X112" t="str">
        <f t="shared" si="8"/>
        <v>Medium</v>
      </c>
      <c r="Y112">
        <f t="shared" si="9"/>
        <v>95</v>
      </c>
    </row>
    <row r="113" spans="1:25">
      <c r="A113" t="s">
        <v>23</v>
      </c>
      <c r="B113">
        <v>157</v>
      </c>
      <c r="C113">
        <v>415</v>
      </c>
      <c r="D113" t="s">
        <v>21</v>
      </c>
      <c r="E113" t="s">
        <v>21</v>
      </c>
      <c r="F113">
        <v>0</v>
      </c>
      <c r="G113">
        <v>224.5</v>
      </c>
      <c r="H113">
        <v>111</v>
      </c>
      <c r="I113">
        <v>38.17</v>
      </c>
      <c r="J113">
        <v>200.7</v>
      </c>
      <c r="K113">
        <v>99</v>
      </c>
      <c r="L113">
        <v>17.059999999999999</v>
      </c>
      <c r="M113">
        <v>116.6</v>
      </c>
      <c r="N113">
        <v>118</v>
      </c>
      <c r="O113">
        <v>5.25</v>
      </c>
      <c r="P113">
        <v>11.5</v>
      </c>
      <c r="Q113">
        <v>2</v>
      </c>
      <c r="R113">
        <v>3.11</v>
      </c>
      <c r="S113">
        <v>2</v>
      </c>
      <c r="T113" t="b">
        <v>0</v>
      </c>
      <c r="U113" t="str">
        <f t="shared" si="5"/>
        <v>High Usage</v>
      </c>
      <c r="V113" t="str">
        <f t="shared" si="6"/>
        <v>Normal</v>
      </c>
      <c r="W113" t="str">
        <f t="shared" si="7"/>
        <v>Stable</v>
      </c>
      <c r="X113" t="str">
        <f t="shared" si="8"/>
        <v>Low</v>
      </c>
      <c r="Y113">
        <f t="shared" si="9"/>
        <v>157</v>
      </c>
    </row>
    <row r="114" spans="1:25">
      <c r="A114" t="s">
        <v>33</v>
      </c>
      <c r="B114">
        <v>80</v>
      </c>
      <c r="C114">
        <v>415</v>
      </c>
      <c r="D114" t="s">
        <v>21</v>
      </c>
      <c r="E114" t="s">
        <v>21</v>
      </c>
      <c r="F114">
        <v>0</v>
      </c>
      <c r="G114">
        <v>160.6</v>
      </c>
      <c r="H114">
        <v>103</v>
      </c>
      <c r="I114">
        <v>27.3</v>
      </c>
      <c r="J114">
        <v>237</v>
      </c>
      <c r="K114">
        <v>109</v>
      </c>
      <c r="L114">
        <v>20.149999999999999</v>
      </c>
      <c r="M114">
        <v>245.1</v>
      </c>
      <c r="N114">
        <v>88</v>
      </c>
      <c r="O114">
        <v>11.03</v>
      </c>
      <c r="P114">
        <v>10.7</v>
      </c>
      <c r="Q114">
        <v>1</v>
      </c>
      <c r="R114">
        <v>2.89</v>
      </c>
      <c r="S114">
        <v>1</v>
      </c>
      <c r="T114" t="b">
        <v>0</v>
      </c>
      <c r="U114" t="str">
        <f t="shared" si="5"/>
        <v>Normal Usage</v>
      </c>
      <c r="V114" t="str">
        <f t="shared" si="6"/>
        <v>Normal</v>
      </c>
      <c r="W114" t="str">
        <f t="shared" si="7"/>
        <v>Stable</v>
      </c>
      <c r="X114" t="str">
        <f t="shared" si="8"/>
        <v>Low</v>
      </c>
      <c r="Y114">
        <f t="shared" si="9"/>
        <v>80</v>
      </c>
    </row>
    <row r="115" spans="1:25">
      <c r="A115" t="s">
        <v>38</v>
      </c>
      <c r="B115">
        <v>75</v>
      </c>
      <c r="C115">
        <v>510</v>
      </c>
      <c r="D115" t="s">
        <v>21</v>
      </c>
      <c r="E115" t="s">
        <v>27</v>
      </c>
      <c r="F115">
        <v>37</v>
      </c>
      <c r="G115">
        <v>121.5</v>
      </c>
      <c r="H115">
        <v>97</v>
      </c>
      <c r="I115">
        <v>20.66</v>
      </c>
      <c r="J115">
        <v>271.39999999999998</v>
      </c>
      <c r="K115">
        <v>110</v>
      </c>
      <c r="L115">
        <v>23.07</v>
      </c>
      <c r="M115">
        <v>248.7</v>
      </c>
      <c r="N115">
        <v>97</v>
      </c>
      <c r="O115">
        <v>11.19</v>
      </c>
      <c r="P115">
        <v>11.3</v>
      </c>
      <c r="Q115">
        <v>5</v>
      </c>
      <c r="R115">
        <v>3.05</v>
      </c>
      <c r="S115">
        <v>2</v>
      </c>
      <c r="T115" t="b">
        <v>0</v>
      </c>
      <c r="U115" t="str">
        <f t="shared" si="5"/>
        <v>Normal Usage</v>
      </c>
      <c r="V115" t="str">
        <f t="shared" si="6"/>
        <v>Normal</v>
      </c>
      <c r="W115" t="str">
        <f t="shared" si="7"/>
        <v>Stable</v>
      </c>
      <c r="X115" t="str">
        <f t="shared" si="8"/>
        <v>Low</v>
      </c>
      <c r="Y115">
        <f t="shared" si="9"/>
        <v>75</v>
      </c>
    </row>
    <row r="116" spans="1:25">
      <c r="A116" t="s">
        <v>66</v>
      </c>
      <c r="B116">
        <v>44</v>
      </c>
      <c r="C116">
        <v>510</v>
      </c>
      <c r="D116" t="s">
        <v>21</v>
      </c>
      <c r="E116" t="s">
        <v>21</v>
      </c>
      <c r="F116">
        <v>0</v>
      </c>
      <c r="G116">
        <v>228.1</v>
      </c>
      <c r="H116">
        <v>121</v>
      </c>
      <c r="I116">
        <v>38.78</v>
      </c>
      <c r="J116">
        <v>276.5</v>
      </c>
      <c r="K116">
        <v>79</v>
      </c>
      <c r="L116">
        <v>23.5</v>
      </c>
      <c r="M116">
        <v>279.8</v>
      </c>
      <c r="N116">
        <v>77</v>
      </c>
      <c r="O116">
        <v>12.59</v>
      </c>
      <c r="P116">
        <v>9.9</v>
      </c>
      <c r="Q116">
        <v>5</v>
      </c>
      <c r="R116">
        <v>2.67</v>
      </c>
      <c r="S116">
        <v>2</v>
      </c>
      <c r="T116" t="b">
        <v>1</v>
      </c>
      <c r="U116" t="str">
        <f t="shared" si="5"/>
        <v>High Usage</v>
      </c>
      <c r="V116" t="str">
        <f t="shared" si="6"/>
        <v>Normal</v>
      </c>
      <c r="W116" t="str">
        <f t="shared" si="7"/>
        <v>Stable</v>
      </c>
      <c r="X116" t="str">
        <f t="shared" si="8"/>
        <v>Low</v>
      </c>
      <c r="Y116">
        <f t="shared" si="9"/>
        <v>44</v>
      </c>
    </row>
    <row r="117" spans="1:25">
      <c r="A117" t="s">
        <v>55</v>
      </c>
      <c r="B117">
        <v>101</v>
      </c>
      <c r="C117">
        <v>408</v>
      </c>
      <c r="D117" t="s">
        <v>21</v>
      </c>
      <c r="E117" t="s">
        <v>21</v>
      </c>
      <c r="F117">
        <v>0</v>
      </c>
      <c r="G117">
        <v>89.7</v>
      </c>
      <c r="H117">
        <v>118</v>
      </c>
      <c r="I117">
        <v>15.25</v>
      </c>
      <c r="J117">
        <v>260.10000000000002</v>
      </c>
      <c r="K117">
        <v>79</v>
      </c>
      <c r="L117">
        <v>22.11</v>
      </c>
      <c r="M117">
        <v>170.1</v>
      </c>
      <c r="N117">
        <v>93</v>
      </c>
      <c r="O117">
        <v>7.65</v>
      </c>
      <c r="P117">
        <v>13.5</v>
      </c>
      <c r="Q117">
        <v>11</v>
      </c>
      <c r="R117">
        <v>3.65</v>
      </c>
      <c r="S117">
        <v>5</v>
      </c>
      <c r="T117" t="b">
        <v>1</v>
      </c>
      <c r="U117" t="str">
        <f t="shared" si="5"/>
        <v>Normal Usage</v>
      </c>
      <c r="V117" t="str">
        <f t="shared" si="6"/>
        <v>Normal</v>
      </c>
      <c r="W117" t="str">
        <f t="shared" si="7"/>
        <v>Potential Churn</v>
      </c>
      <c r="X117" t="str">
        <f t="shared" si="8"/>
        <v>Medium</v>
      </c>
      <c r="Y117">
        <f t="shared" si="9"/>
        <v>101</v>
      </c>
    </row>
    <row r="118" spans="1:25">
      <c r="A118" t="s">
        <v>31</v>
      </c>
      <c r="B118">
        <v>117</v>
      </c>
      <c r="C118">
        <v>408</v>
      </c>
      <c r="D118" t="s">
        <v>21</v>
      </c>
      <c r="E118" t="s">
        <v>27</v>
      </c>
      <c r="F118">
        <v>14</v>
      </c>
      <c r="G118">
        <v>80.2</v>
      </c>
      <c r="H118">
        <v>81</v>
      </c>
      <c r="I118">
        <v>13.63</v>
      </c>
      <c r="J118">
        <v>219</v>
      </c>
      <c r="K118">
        <v>103</v>
      </c>
      <c r="L118">
        <v>18.62</v>
      </c>
      <c r="M118">
        <v>122.6</v>
      </c>
      <c r="N118">
        <v>102</v>
      </c>
      <c r="O118">
        <v>5.52</v>
      </c>
      <c r="P118">
        <v>8.6</v>
      </c>
      <c r="Q118">
        <v>2</v>
      </c>
      <c r="R118">
        <v>2.3199999999999998</v>
      </c>
      <c r="S118">
        <v>1</v>
      </c>
      <c r="T118" t="b">
        <v>0</v>
      </c>
      <c r="U118" t="str">
        <f t="shared" si="5"/>
        <v>Normal Usage</v>
      </c>
      <c r="V118" t="str">
        <f t="shared" si="6"/>
        <v>Normal</v>
      </c>
      <c r="W118" t="str">
        <f t="shared" si="7"/>
        <v>Stable</v>
      </c>
      <c r="X118" t="str">
        <f t="shared" si="8"/>
        <v>Low</v>
      </c>
      <c r="Y118">
        <f t="shared" si="9"/>
        <v>117</v>
      </c>
    </row>
    <row r="119" spans="1:25">
      <c r="A119" t="s">
        <v>67</v>
      </c>
      <c r="B119">
        <v>82</v>
      </c>
      <c r="C119">
        <v>408</v>
      </c>
      <c r="D119" t="s">
        <v>21</v>
      </c>
      <c r="E119" t="s">
        <v>21</v>
      </c>
      <c r="F119">
        <v>0</v>
      </c>
      <c r="G119">
        <v>125.7</v>
      </c>
      <c r="H119">
        <v>96</v>
      </c>
      <c r="I119">
        <v>21.37</v>
      </c>
      <c r="J119">
        <v>207.6</v>
      </c>
      <c r="K119">
        <v>137</v>
      </c>
      <c r="L119">
        <v>17.649999999999999</v>
      </c>
      <c r="M119">
        <v>183.1</v>
      </c>
      <c r="N119">
        <v>103</v>
      </c>
      <c r="O119">
        <v>8.24</v>
      </c>
      <c r="P119">
        <v>12.9</v>
      </c>
      <c r="Q119">
        <v>2</v>
      </c>
      <c r="R119">
        <v>3.48</v>
      </c>
      <c r="S119">
        <v>1</v>
      </c>
      <c r="T119" t="b">
        <v>0</v>
      </c>
      <c r="U119" t="str">
        <f t="shared" si="5"/>
        <v>Normal Usage</v>
      </c>
      <c r="V119" t="str">
        <f t="shared" si="6"/>
        <v>Normal</v>
      </c>
      <c r="W119" t="str">
        <f t="shared" si="7"/>
        <v>Stable</v>
      </c>
      <c r="X119" t="str">
        <f t="shared" si="8"/>
        <v>Low</v>
      </c>
      <c r="Y119">
        <f t="shared" si="9"/>
        <v>82</v>
      </c>
    </row>
    <row r="120" spans="1:25">
      <c r="A120" t="s">
        <v>23</v>
      </c>
      <c r="B120">
        <v>39</v>
      </c>
      <c r="C120">
        <v>408</v>
      </c>
      <c r="D120" t="s">
        <v>21</v>
      </c>
      <c r="E120" t="s">
        <v>21</v>
      </c>
      <c r="F120">
        <v>0</v>
      </c>
      <c r="G120">
        <v>160.4</v>
      </c>
      <c r="H120">
        <v>68</v>
      </c>
      <c r="I120">
        <v>27.27</v>
      </c>
      <c r="J120">
        <v>102.6</v>
      </c>
      <c r="K120">
        <v>103</v>
      </c>
      <c r="L120">
        <v>8.7200000000000006</v>
      </c>
      <c r="M120">
        <v>235.3</v>
      </c>
      <c r="N120">
        <v>106</v>
      </c>
      <c r="O120">
        <v>10.59</v>
      </c>
      <c r="P120">
        <v>9.1</v>
      </c>
      <c r="Q120">
        <v>5</v>
      </c>
      <c r="R120">
        <v>2.46</v>
      </c>
      <c r="S120">
        <v>2</v>
      </c>
      <c r="T120" t="b">
        <v>0</v>
      </c>
      <c r="U120" t="str">
        <f t="shared" si="5"/>
        <v>Normal Usage</v>
      </c>
      <c r="V120" t="str">
        <f t="shared" si="6"/>
        <v>Normal</v>
      </c>
      <c r="W120" t="str">
        <f t="shared" si="7"/>
        <v>Stable</v>
      </c>
      <c r="X120" t="str">
        <f t="shared" si="8"/>
        <v>Low</v>
      </c>
      <c r="Y120">
        <f t="shared" si="9"/>
        <v>39</v>
      </c>
    </row>
    <row r="121" spans="1:25">
      <c r="A121" t="s">
        <v>46</v>
      </c>
      <c r="B121">
        <v>30</v>
      </c>
      <c r="C121">
        <v>415</v>
      </c>
      <c r="D121" t="s">
        <v>21</v>
      </c>
      <c r="E121" t="s">
        <v>21</v>
      </c>
      <c r="F121">
        <v>0</v>
      </c>
      <c r="G121">
        <v>169.9</v>
      </c>
      <c r="H121">
        <v>144</v>
      </c>
      <c r="I121">
        <v>28.88</v>
      </c>
      <c r="J121">
        <v>225.2</v>
      </c>
      <c r="K121">
        <v>118</v>
      </c>
      <c r="L121">
        <v>19.14</v>
      </c>
      <c r="M121">
        <v>169.7</v>
      </c>
      <c r="N121">
        <v>93</v>
      </c>
      <c r="O121">
        <v>7.64</v>
      </c>
      <c r="P121">
        <v>11.4</v>
      </c>
      <c r="Q121">
        <v>7</v>
      </c>
      <c r="R121">
        <v>3.08</v>
      </c>
      <c r="S121">
        <v>1</v>
      </c>
      <c r="T121" t="b">
        <v>0</v>
      </c>
      <c r="U121" t="str">
        <f t="shared" si="5"/>
        <v>Normal Usage</v>
      </c>
      <c r="V121" t="str">
        <f t="shared" si="6"/>
        <v>Normal</v>
      </c>
      <c r="W121" t="str">
        <f t="shared" si="7"/>
        <v>Stable</v>
      </c>
      <c r="X121" t="str">
        <f t="shared" si="8"/>
        <v>Low</v>
      </c>
      <c r="Y121">
        <f t="shared" si="9"/>
        <v>30</v>
      </c>
    </row>
    <row r="122" spans="1:25">
      <c r="A122" t="s">
        <v>53</v>
      </c>
      <c r="B122">
        <v>63</v>
      </c>
      <c r="C122">
        <v>415</v>
      </c>
      <c r="D122" t="s">
        <v>21</v>
      </c>
      <c r="E122" t="s">
        <v>27</v>
      </c>
      <c r="F122">
        <v>29</v>
      </c>
      <c r="G122">
        <v>142.30000000000001</v>
      </c>
      <c r="H122">
        <v>107</v>
      </c>
      <c r="I122">
        <v>24.19</v>
      </c>
      <c r="J122">
        <v>118.7</v>
      </c>
      <c r="K122">
        <v>56</v>
      </c>
      <c r="L122">
        <v>10.09</v>
      </c>
      <c r="M122">
        <v>240.1</v>
      </c>
      <c r="N122">
        <v>91</v>
      </c>
      <c r="O122">
        <v>10.8</v>
      </c>
      <c r="P122">
        <v>6.6</v>
      </c>
      <c r="Q122">
        <v>8</v>
      </c>
      <c r="R122">
        <v>1.78</v>
      </c>
      <c r="S122">
        <v>1</v>
      </c>
      <c r="T122" t="b">
        <v>0</v>
      </c>
      <c r="U122" t="str">
        <f t="shared" si="5"/>
        <v>Normal Usage</v>
      </c>
      <c r="V122" t="str">
        <f t="shared" si="6"/>
        <v>Normal</v>
      </c>
      <c r="W122" t="str">
        <f t="shared" si="7"/>
        <v>Stable</v>
      </c>
      <c r="X122" t="str">
        <f t="shared" si="8"/>
        <v>Low</v>
      </c>
      <c r="Y122">
        <f t="shared" si="9"/>
        <v>63</v>
      </c>
    </row>
    <row r="123" spans="1:25">
      <c r="A123" t="s">
        <v>50</v>
      </c>
      <c r="B123">
        <v>111</v>
      </c>
      <c r="C123">
        <v>415</v>
      </c>
      <c r="D123" t="s">
        <v>21</v>
      </c>
      <c r="E123" t="s">
        <v>21</v>
      </c>
      <c r="F123">
        <v>0</v>
      </c>
      <c r="G123">
        <v>146.19999999999999</v>
      </c>
      <c r="H123">
        <v>55</v>
      </c>
      <c r="I123">
        <v>24.85</v>
      </c>
      <c r="J123">
        <v>261.5</v>
      </c>
      <c r="K123">
        <v>83</v>
      </c>
      <c r="L123">
        <v>22.23</v>
      </c>
      <c r="M123">
        <v>163.19999999999999</v>
      </c>
      <c r="N123">
        <v>116</v>
      </c>
      <c r="O123">
        <v>7.34</v>
      </c>
      <c r="P123">
        <v>8.6999999999999993</v>
      </c>
      <c r="Q123">
        <v>3</v>
      </c>
      <c r="R123">
        <v>2.35</v>
      </c>
      <c r="S123">
        <v>3</v>
      </c>
      <c r="T123" t="b">
        <v>0</v>
      </c>
      <c r="U123" t="str">
        <f t="shared" si="5"/>
        <v>Normal Usage</v>
      </c>
      <c r="V123" t="str">
        <f t="shared" si="6"/>
        <v>Normal</v>
      </c>
      <c r="W123" t="str">
        <f t="shared" si="7"/>
        <v>Stable</v>
      </c>
      <c r="X123" t="str">
        <f t="shared" si="8"/>
        <v>Medium</v>
      </c>
      <c r="Y123">
        <f t="shared" si="9"/>
        <v>111</v>
      </c>
    </row>
    <row r="124" spans="1:25">
      <c r="A124" t="s">
        <v>67</v>
      </c>
      <c r="B124">
        <v>91</v>
      </c>
      <c r="C124">
        <v>510</v>
      </c>
      <c r="D124" t="s">
        <v>21</v>
      </c>
      <c r="E124" t="s">
        <v>21</v>
      </c>
      <c r="F124">
        <v>0</v>
      </c>
      <c r="G124">
        <v>231.8</v>
      </c>
      <c r="H124">
        <v>120</v>
      </c>
      <c r="I124">
        <v>39.409999999999997</v>
      </c>
      <c r="J124">
        <v>150.6</v>
      </c>
      <c r="K124">
        <v>106</v>
      </c>
      <c r="L124">
        <v>12.8</v>
      </c>
      <c r="M124">
        <v>269.2</v>
      </c>
      <c r="N124">
        <v>129</v>
      </c>
      <c r="O124">
        <v>12.11</v>
      </c>
      <c r="P124">
        <v>11.6</v>
      </c>
      <c r="Q124">
        <v>7</v>
      </c>
      <c r="R124">
        <v>3.13</v>
      </c>
      <c r="S124">
        <v>3</v>
      </c>
      <c r="T124" t="b">
        <v>0</v>
      </c>
      <c r="U124" t="str">
        <f t="shared" si="5"/>
        <v>High Usage</v>
      </c>
      <c r="V124" t="str">
        <f t="shared" si="6"/>
        <v>Normal</v>
      </c>
      <c r="W124" t="str">
        <f t="shared" si="7"/>
        <v>Stable</v>
      </c>
      <c r="X124" t="str">
        <f t="shared" si="8"/>
        <v>Medium</v>
      </c>
      <c r="Y124">
        <f t="shared" si="9"/>
        <v>91</v>
      </c>
    </row>
    <row r="125" spans="1:25">
      <c r="A125" t="s">
        <v>60</v>
      </c>
      <c r="B125">
        <v>105</v>
      </c>
      <c r="C125">
        <v>415</v>
      </c>
      <c r="D125" t="s">
        <v>27</v>
      </c>
      <c r="E125" t="s">
        <v>27</v>
      </c>
      <c r="F125">
        <v>29</v>
      </c>
      <c r="G125">
        <v>220.7</v>
      </c>
      <c r="H125">
        <v>82</v>
      </c>
      <c r="I125">
        <v>37.520000000000003</v>
      </c>
      <c r="J125">
        <v>217.7</v>
      </c>
      <c r="K125">
        <v>110</v>
      </c>
      <c r="L125">
        <v>18.5</v>
      </c>
      <c r="M125">
        <v>190.5</v>
      </c>
      <c r="N125">
        <v>100</v>
      </c>
      <c r="O125">
        <v>8.57</v>
      </c>
      <c r="P125">
        <v>13.2</v>
      </c>
      <c r="Q125">
        <v>6</v>
      </c>
      <c r="R125">
        <v>3.56</v>
      </c>
      <c r="S125">
        <v>1</v>
      </c>
      <c r="T125" t="b">
        <v>1</v>
      </c>
      <c r="U125" t="str">
        <f t="shared" si="5"/>
        <v>High Usage</v>
      </c>
      <c r="V125" t="str">
        <f t="shared" si="6"/>
        <v>Normal</v>
      </c>
      <c r="W125" t="str">
        <f t="shared" si="7"/>
        <v>Stable</v>
      </c>
      <c r="X125" t="str">
        <f t="shared" si="8"/>
        <v>Low</v>
      </c>
      <c r="Y125">
        <f t="shared" si="9"/>
        <v>105</v>
      </c>
    </row>
    <row r="126" spans="1:25">
      <c r="A126" t="s">
        <v>40</v>
      </c>
      <c r="B126">
        <v>166</v>
      </c>
      <c r="C126">
        <v>408</v>
      </c>
      <c r="D126" t="s">
        <v>27</v>
      </c>
      <c r="E126" t="s">
        <v>27</v>
      </c>
      <c r="F126">
        <v>35</v>
      </c>
      <c r="G126">
        <v>128.19999999999999</v>
      </c>
      <c r="H126">
        <v>138</v>
      </c>
      <c r="I126">
        <v>21.79</v>
      </c>
      <c r="J126">
        <v>274.5</v>
      </c>
      <c r="K126">
        <v>113</v>
      </c>
      <c r="L126">
        <v>23.33</v>
      </c>
      <c r="M126">
        <v>298.89999999999998</v>
      </c>
      <c r="N126">
        <v>130</v>
      </c>
      <c r="O126">
        <v>13.45</v>
      </c>
      <c r="P126">
        <v>8.8000000000000007</v>
      </c>
      <c r="Q126">
        <v>7</v>
      </c>
      <c r="R126">
        <v>2.38</v>
      </c>
      <c r="S126">
        <v>2</v>
      </c>
      <c r="T126" t="b">
        <v>0</v>
      </c>
      <c r="U126" t="str">
        <f t="shared" si="5"/>
        <v>Normal Usage</v>
      </c>
      <c r="V126" t="str">
        <f t="shared" si="6"/>
        <v>Normal</v>
      </c>
      <c r="W126" t="str">
        <f t="shared" si="7"/>
        <v>Stable</v>
      </c>
      <c r="X126" t="str">
        <f t="shared" si="8"/>
        <v>Low</v>
      </c>
      <c r="Y126">
        <f t="shared" si="9"/>
        <v>166</v>
      </c>
    </row>
    <row r="127" spans="1:25">
      <c r="A127" t="s">
        <v>51</v>
      </c>
      <c r="B127">
        <v>79</v>
      </c>
      <c r="C127">
        <v>510</v>
      </c>
      <c r="D127" t="s">
        <v>21</v>
      </c>
      <c r="E127" t="s">
        <v>21</v>
      </c>
      <c r="F127">
        <v>0</v>
      </c>
      <c r="G127">
        <v>130.19999999999999</v>
      </c>
      <c r="H127">
        <v>119</v>
      </c>
      <c r="I127">
        <v>22.13</v>
      </c>
      <c r="J127">
        <v>290.89999999999998</v>
      </c>
      <c r="K127">
        <v>121</v>
      </c>
      <c r="L127">
        <v>24.73</v>
      </c>
      <c r="M127">
        <v>194.8</v>
      </c>
      <c r="N127">
        <v>140</v>
      </c>
      <c r="O127">
        <v>8.77</v>
      </c>
      <c r="P127">
        <v>14</v>
      </c>
      <c r="Q127">
        <v>6</v>
      </c>
      <c r="R127">
        <v>3.78</v>
      </c>
      <c r="S127">
        <v>3</v>
      </c>
      <c r="T127" t="b">
        <v>0</v>
      </c>
      <c r="U127" t="str">
        <f t="shared" si="5"/>
        <v>Normal Usage</v>
      </c>
      <c r="V127" t="str">
        <f t="shared" si="6"/>
        <v>Normal</v>
      </c>
      <c r="W127" t="str">
        <f t="shared" si="7"/>
        <v>Stable</v>
      </c>
      <c r="X127" t="str">
        <f t="shared" si="8"/>
        <v>Medium</v>
      </c>
      <c r="Y127">
        <f t="shared" si="9"/>
        <v>79</v>
      </c>
    </row>
    <row r="128" spans="1:25">
      <c r="A128" t="s">
        <v>62</v>
      </c>
      <c r="B128">
        <v>105</v>
      </c>
      <c r="C128">
        <v>408</v>
      </c>
      <c r="D128" t="s">
        <v>21</v>
      </c>
      <c r="E128" t="s">
        <v>27</v>
      </c>
      <c r="F128">
        <v>33</v>
      </c>
      <c r="G128">
        <v>209.6</v>
      </c>
      <c r="H128">
        <v>68</v>
      </c>
      <c r="I128">
        <v>35.630000000000003</v>
      </c>
      <c r="J128">
        <v>146.9</v>
      </c>
      <c r="K128">
        <v>140</v>
      </c>
      <c r="L128">
        <v>12.49</v>
      </c>
      <c r="M128">
        <v>121</v>
      </c>
      <c r="N128">
        <v>131</v>
      </c>
      <c r="O128">
        <v>5.44</v>
      </c>
      <c r="P128">
        <v>10.6</v>
      </c>
      <c r="Q128">
        <v>3</v>
      </c>
      <c r="R128">
        <v>2.86</v>
      </c>
      <c r="S128">
        <v>2</v>
      </c>
      <c r="T128" t="b">
        <v>0</v>
      </c>
      <c r="U128" t="str">
        <f t="shared" si="5"/>
        <v>High Usage</v>
      </c>
      <c r="V128" t="str">
        <f t="shared" si="6"/>
        <v>Normal</v>
      </c>
      <c r="W128" t="str">
        <f t="shared" si="7"/>
        <v>Stable</v>
      </c>
      <c r="X128" t="str">
        <f t="shared" si="8"/>
        <v>Low</v>
      </c>
      <c r="Y128">
        <f t="shared" si="9"/>
        <v>105</v>
      </c>
    </row>
    <row r="129" spans="1:25">
      <c r="A129" t="s">
        <v>20</v>
      </c>
      <c r="B129">
        <v>172</v>
      </c>
      <c r="C129">
        <v>415</v>
      </c>
      <c r="D129" t="s">
        <v>21</v>
      </c>
      <c r="E129" t="s">
        <v>21</v>
      </c>
      <c r="F129">
        <v>0</v>
      </c>
      <c r="G129">
        <v>215.7</v>
      </c>
      <c r="H129">
        <v>140</v>
      </c>
      <c r="I129">
        <v>36.67</v>
      </c>
      <c r="J129">
        <v>146.30000000000001</v>
      </c>
      <c r="K129">
        <v>84</v>
      </c>
      <c r="L129">
        <v>12.44</v>
      </c>
      <c r="M129">
        <v>264.60000000000002</v>
      </c>
      <c r="N129">
        <v>83</v>
      </c>
      <c r="O129">
        <v>11.91</v>
      </c>
      <c r="P129">
        <v>7.1</v>
      </c>
      <c r="Q129">
        <v>1</v>
      </c>
      <c r="R129">
        <v>1.92</v>
      </c>
      <c r="S129">
        <v>3</v>
      </c>
      <c r="T129" t="b">
        <v>0</v>
      </c>
      <c r="U129" t="str">
        <f t="shared" si="5"/>
        <v>High Usage</v>
      </c>
      <c r="V129" t="str">
        <f t="shared" si="6"/>
        <v>Normal</v>
      </c>
      <c r="W129" t="str">
        <f t="shared" si="7"/>
        <v>Stable</v>
      </c>
      <c r="X129" t="str">
        <f t="shared" si="8"/>
        <v>Medium</v>
      </c>
      <c r="Y129">
        <f t="shared" si="9"/>
        <v>172</v>
      </c>
    </row>
    <row r="130" spans="1:25">
      <c r="A130" t="s">
        <v>52</v>
      </c>
      <c r="B130">
        <v>121</v>
      </c>
      <c r="C130">
        <v>408</v>
      </c>
      <c r="D130" t="s">
        <v>21</v>
      </c>
      <c r="E130" t="s">
        <v>21</v>
      </c>
      <c r="F130">
        <v>0</v>
      </c>
      <c r="G130">
        <v>150.69999999999999</v>
      </c>
      <c r="H130">
        <v>105</v>
      </c>
      <c r="I130">
        <v>25.62</v>
      </c>
      <c r="J130">
        <v>197.3</v>
      </c>
      <c r="K130">
        <v>133</v>
      </c>
      <c r="L130">
        <v>16.77</v>
      </c>
      <c r="M130">
        <v>169</v>
      </c>
      <c r="N130">
        <v>116</v>
      </c>
      <c r="O130">
        <v>7.61</v>
      </c>
      <c r="P130">
        <v>9.1999999999999993</v>
      </c>
      <c r="Q130">
        <v>15</v>
      </c>
      <c r="R130">
        <v>2.48</v>
      </c>
      <c r="S130">
        <v>1</v>
      </c>
      <c r="T130" t="b">
        <v>0</v>
      </c>
      <c r="U130" t="str">
        <f t="shared" si="5"/>
        <v>Normal Usage</v>
      </c>
      <c r="V130" t="str">
        <f t="shared" si="6"/>
        <v>Normal</v>
      </c>
      <c r="W130" t="str">
        <f t="shared" si="7"/>
        <v>Stable</v>
      </c>
      <c r="X130" t="str">
        <f t="shared" si="8"/>
        <v>Low</v>
      </c>
      <c r="Y130">
        <f t="shared" si="9"/>
        <v>121</v>
      </c>
    </row>
    <row r="131" spans="1:25">
      <c r="A131" t="s">
        <v>68</v>
      </c>
      <c r="B131">
        <v>88</v>
      </c>
      <c r="C131">
        <v>415</v>
      </c>
      <c r="D131" t="s">
        <v>21</v>
      </c>
      <c r="E131" t="s">
        <v>21</v>
      </c>
      <c r="F131">
        <v>0</v>
      </c>
      <c r="G131">
        <v>161.5</v>
      </c>
      <c r="H131">
        <v>92</v>
      </c>
      <c r="I131">
        <v>27.46</v>
      </c>
      <c r="J131">
        <v>173.5</v>
      </c>
      <c r="K131">
        <v>108</v>
      </c>
      <c r="L131">
        <v>14.75</v>
      </c>
      <c r="M131">
        <v>206.2</v>
      </c>
      <c r="N131">
        <v>95</v>
      </c>
      <c r="O131">
        <v>9.2799999999999994</v>
      </c>
      <c r="P131">
        <v>7.9</v>
      </c>
      <c r="Q131">
        <v>4</v>
      </c>
      <c r="R131">
        <v>2.13</v>
      </c>
      <c r="S131">
        <v>2</v>
      </c>
      <c r="T131" t="b">
        <v>0</v>
      </c>
      <c r="U131" t="str">
        <f t="shared" ref="U131:U194" si="10">IF(G131&gt;200,"High Usage","Normal Usage")</f>
        <v>Normal Usage</v>
      </c>
      <c r="V131" t="str">
        <f t="shared" ref="V131:V194" si="11">IF(AND(S131&gt;3,D131="Yes"),"High Risk","Normal")</f>
        <v>Normal</v>
      </c>
      <c r="W131" t="str">
        <f t="shared" ref="W131:W194" si="12">IF(OR(S131&gt;3,G131&gt;250),"Potential Churn","Stable")</f>
        <v>Stable</v>
      </c>
      <c r="X131" t="str">
        <f t="shared" ref="X131:X194" si="13">IF(S131&gt;5,"Critical",IF(S131&gt;=3,"Medium","Low"))</f>
        <v>Low</v>
      </c>
      <c r="Y131">
        <f t="shared" ref="Y131:Y194" si="14">VLOOKUP(A131,A130:U797,2,FALSE)</f>
        <v>88</v>
      </c>
    </row>
    <row r="132" spans="1:25">
      <c r="A132" t="s">
        <v>66</v>
      </c>
      <c r="B132">
        <v>153</v>
      </c>
      <c r="C132">
        <v>408</v>
      </c>
      <c r="D132" t="s">
        <v>21</v>
      </c>
      <c r="E132" t="s">
        <v>27</v>
      </c>
      <c r="F132">
        <v>28</v>
      </c>
      <c r="G132">
        <v>235.6</v>
      </c>
      <c r="H132">
        <v>74</v>
      </c>
      <c r="I132">
        <v>40.049999999999997</v>
      </c>
      <c r="J132">
        <v>227.9</v>
      </c>
      <c r="K132">
        <v>37</v>
      </c>
      <c r="L132">
        <v>19.37</v>
      </c>
      <c r="M132">
        <v>170.3</v>
      </c>
      <c r="N132">
        <v>103</v>
      </c>
      <c r="O132">
        <v>7.66</v>
      </c>
      <c r="P132">
        <v>15.4</v>
      </c>
      <c r="Q132">
        <v>9</v>
      </c>
      <c r="R132">
        <v>4.16</v>
      </c>
      <c r="S132">
        <v>0</v>
      </c>
      <c r="T132" t="b">
        <v>0</v>
      </c>
      <c r="U132" t="str">
        <f t="shared" si="10"/>
        <v>High Usage</v>
      </c>
      <c r="V132" t="str">
        <f t="shared" si="11"/>
        <v>Normal</v>
      </c>
      <c r="W132" t="str">
        <f t="shared" si="12"/>
        <v>Stable</v>
      </c>
      <c r="X132" t="str">
        <f t="shared" si="13"/>
        <v>Low</v>
      </c>
      <c r="Y132">
        <f t="shared" si="14"/>
        <v>153</v>
      </c>
    </row>
    <row r="133" spans="1:25">
      <c r="A133" t="s">
        <v>69</v>
      </c>
      <c r="B133">
        <v>54</v>
      </c>
      <c r="C133">
        <v>415</v>
      </c>
      <c r="D133" t="s">
        <v>21</v>
      </c>
      <c r="E133" t="s">
        <v>27</v>
      </c>
      <c r="F133">
        <v>39</v>
      </c>
      <c r="G133">
        <v>206.9</v>
      </c>
      <c r="H133">
        <v>143</v>
      </c>
      <c r="I133">
        <v>35.17</v>
      </c>
      <c r="J133">
        <v>127.8</v>
      </c>
      <c r="K133">
        <v>72</v>
      </c>
      <c r="L133">
        <v>10.86</v>
      </c>
      <c r="M133">
        <v>199.2</v>
      </c>
      <c r="N133">
        <v>120</v>
      </c>
      <c r="O133">
        <v>8.9600000000000009</v>
      </c>
      <c r="P133">
        <v>9.1999999999999993</v>
      </c>
      <c r="Q133">
        <v>1</v>
      </c>
      <c r="R133">
        <v>2.48</v>
      </c>
      <c r="S133">
        <v>3</v>
      </c>
      <c r="T133" t="b">
        <v>0</v>
      </c>
      <c r="U133" t="str">
        <f t="shared" si="10"/>
        <v>High Usage</v>
      </c>
      <c r="V133" t="str">
        <f t="shared" si="11"/>
        <v>Normal</v>
      </c>
      <c r="W133" t="str">
        <f t="shared" si="12"/>
        <v>Stable</v>
      </c>
      <c r="X133" t="str">
        <f t="shared" si="13"/>
        <v>Medium</v>
      </c>
      <c r="Y133">
        <f t="shared" si="14"/>
        <v>54</v>
      </c>
    </row>
    <row r="134" spans="1:25">
      <c r="A134" t="s">
        <v>39</v>
      </c>
      <c r="B134">
        <v>79</v>
      </c>
      <c r="C134">
        <v>510</v>
      </c>
      <c r="D134" t="s">
        <v>21</v>
      </c>
      <c r="E134" t="s">
        <v>21</v>
      </c>
      <c r="F134">
        <v>0</v>
      </c>
      <c r="G134">
        <v>157.6</v>
      </c>
      <c r="H134">
        <v>85</v>
      </c>
      <c r="I134">
        <v>26.79</v>
      </c>
      <c r="J134">
        <v>194.1</v>
      </c>
      <c r="K134">
        <v>92</v>
      </c>
      <c r="L134">
        <v>16.5</v>
      </c>
      <c r="M134">
        <v>231.5</v>
      </c>
      <c r="N134">
        <v>86</v>
      </c>
      <c r="O134">
        <v>10.42</v>
      </c>
      <c r="P134">
        <v>9.4</v>
      </c>
      <c r="Q134">
        <v>10</v>
      </c>
      <c r="R134">
        <v>2.54</v>
      </c>
      <c r="S134">
        <v>5</v>
      </c>
      <c r="T134" t="b">
        <v>1</v>
      </c>
      <c r="U134" t="str">
        <f t="shared" si="10"/>
        <v>Normal Usage</v>
      </c>
      <c r="V134" t="str">
        <f t="shared" si="11"/>
        <v>Normal</v>
      </c>
      <c r="W134" t="str">
        <f t="shared" si="12"/>
        <v>Potential Churn</v>
      </c>
      <c r="X134" t="str">
        <f t="shared" si="13"/>
        <v>Medium</v>
      </c>
      <c r="Y134">
        <f t="shared" si="14"/>
        <v>79</v>
      </c>
    </row>
    <row r="135" spans="1:25">
      <c r="A135" t="s">
        <v>32</v>
      </c>
      <c r="B135">
        <v>55</v>
      </c>
      <c r="C135">
        <v>415</v>
      </c>
      <c r="D135" t="s">
        <v>21</v>
      </c>
      <c r="E135" t="s">
        <v>21</v>
      </c>
      <c r="F135">
        <v>0</v>
      </c>
      <c r="G135">
        <v>175.6</v>
      </c>
      <c r="H135">
        <v>147</v>
      </c>
      <c r="I135">
        <v>29.85</v>
      </c>
      <c r="J135">
        <v>161.80000000000001</v>
      </c>
      <c r="K135">
        <v>118</v>
      </c>
      <c r="L135">
        <v>13.75</v>
      </c>
      <c r="M135">
        <v>289.5</v>
      </c>
      <c r="N135">
        <v>55</v>
      </c>
      <c r="O135">
        <v>13.03</v>
      </c>
      <c r="P135">
        <v>9.3000000000000007</v>
      </c>
      <c r="Q135">
        <v>4</v>
      </c>
      <c r="R135">
        <v>2.5099999999999998</v>
      </c>
      <c r="S135">
        <v>0</v>
      </c>
      <c r="T135" t="b">
        <v>0</v>
      </c>
      <c r="U135" t="str">
        <f t="shared" si="10"/>
        <v>Normal Usage</v>
      </c>
      <c r="V135" t="str">
        <f t="shared" si="11"/>
        <v>Normal</v>
      </c>
      <c r="W135" t="str">
        <f t="shared" si="12"/>
        <v>Stable</v>
      </c>
      <c r="X135" t="str">
        <f t="shared" si="13"/>
        <v>Low</v>
      </c>
      <c r="Y135">
        <f t="shared" si="14"/>
        <v>55</v>
      </c>
    </row>
    <row r="136" spans="1:25">
      <c r="A136" t="s">
        <v>34</v>
      </c>
      <c r="B136">
        <v>109</v>
      </c>
      <c r="C136">
        <v>408</v>
      </c>
      <c r="D136" t="s">
        <v>21</v>
      </c>
      <c r="E136" t="s">
        <v>21</v>
      </c>
      <c r="F136">
        <v>0</v>
      </c>
      <c r="G136">
        <v>264.7</v>
      </c>
      <c r="H136">
        <v>69</v>
      </c>
      <c r="I136">
        <v>45</v>
      </c>
      <c r="J136">
        <v>305</v>
      </c>
      <c r="K136">
        <v>120</v>
      </c>
      <c r="L136">
        <v>25.93</v>
      </c>
      <c r="M136">
        <v>197.4</v>
      </c>
      <c r="N136">
        <v>86</v>
      </c>
      <c r="O136">
        <v>8.8800000000000008</v>
      </c>
      <c r="P136">
        <v>9.5</v>
      </c>
      <c r="Q136">
        <v>9</v>
      </c>
      <c r="R136">
        <v>2.57</v>
      </c>
      <c r="S136">
        <v>1</v>
      </c>
      <c r="T136" t="b">
        <v>1</v>
      </c>
      <c r="U136" t="str">
        <f t="shared" si="10"/>
        <v>High Usage</v>
      </c>
      <c r="V136" t="str">
        <f t="shared" si="11"/>
        <v>Normal</v>
      </c>
      <c r="W136" t="str">
        <f t="shared" si="12"/>
        <v>Potential Churn</v>
      </c>
      <c r="X136" t="str">
        <f t="shared" si="13"/>
        <v>Low</v>
      </c>
      <c r="Y136">
        <f t="shared" si="14"/>
        <v>109</v>
      </c>
    </row>
    <row r="137" spans="1:25">
      <c r="A137" t="s">
        <v>54</v>
      </c>
      <c r="B137">
        <v>65</v>
      </c>
      <c r="C137">
        <v>408</v>
      </c>
      <c r="D137" t="s">
        <v>21</v>
      </c>
      <c r="E137" t="s">
        <v>27</v>
      </c>
      <c r="F137">
        <v>31</v>
      </c>
      <c r="G137">
        <v>282.3</v>
      </c>
      <c r="H137">
        <v>70</v>
      </c>
      <c r="I137">
        <v>47.99</v>
      </c>
      <c r="J137">
        <v>152</v>
      </c>
      <c r="K137">
        <v>89</v>
      </c>
      <c r="L137">
        <v>12.92</v>
      </c>
      <c r="M137">
        <v>225.5</v>
      </c>
      <c r="N137">
        <v>93</v>
      </c>
      <c r="O137">
        <v>10.15</v>
      </c>
      <c r="P137">
        <v>12</v>
      </c>
      <c r="Q137">
        <v>4</v>
      </c>
      <c r="R137">
        <v>3.24</v>
      </c>
      <c r="S137">
        <v>1</v>
      </c>
      <c r="T137" t="b">
        <v>0</v>
      </c>
      <c r="U137" t="str">
        <f t="shared" si="10"/>
        <v>High Usage</v>
      </c>
      <c r="V137" t="str">
        <f t="shared" si="11"/>
        <v>Normal</v>
      </c>
      <c r="W137" t="str">
        <f t="shared" si="12"/>
        <v>Potential Churn</v>
      </c>
      <c r="X137" t="str">
        <f t="shared" si="13"/>
        <v>Low</v>
      </c>
      <c r="Y137">
        <f t="shared" si="14"/>
        <v>65</v>
      </c>
    </row>
    <row r="138" spans="1:25">
      <c r="A138" t="s">
        <v>34</v>
      </c>
      <c r="B138">
        <v>27</v>
      </c>
      <c r="C138">
        <v>510</v>
      </c>
      <c r="D138" t="s">
        <v>21</v>
      </c>
      <c r="E138" t="s">
        <v>21</v>
      </c>
      <c r="F138">
        <v>0</v>
      </c>
      <c r="G138">
        <v>193.8</v>
      </c>
      <c r="H138">
        <v>102</v>
      </c>
      <c r="I138">
        <v>32.950000000000003</v>
      </c>
      <c r="J138">
        <v>118.9</v>
      </c>
      <c r="K138">
        <v>104</v>
      </c>
      <c r="L138">
        <v>10.11</v>
      </c>
      <c r="M138">
        <v>135.9</v>
      </c>
      <c r="N138">
        <v>124</v>
      </c>
      <c r="O138">
        <v>6.12</v>
      </c>
      <c r="P138">
        <v>9.1999999999999993</v>
      </c>
      <c r="Q138">
        <v>3</v>
      </c>
      <c r="R138">
        <v>2.48</v>
      </c>
      <c r="S138">
        <v>0</v>
      </c>
      <c r="T138" t="b">
        <v>0</v>
      </c>
      <c r="U138" t="str">
        <f t="shared" si="10"/>
        <v>Normal Usage</v>
      </c>
      <c r="V138" t="str">
        <f t="shared" si="11"/>
        <v>Normal</v>
      </c>
      <c r="W138" t="str">
        <f t="shared" si="12"/>
        <v>Stable</v>
      </c>
      <c r="X138" t="str">
        <f t="shared" si="13"/>
        <v>Low</v>
      </c>
      <c r="Y138">
        <f t="shared" si="14"/>
        <v>27</v>
      </c>
    </row>
    <row r="139" spans="1:25">
      <c r="A139" t="s">
        <v>66</v>
      </c>
      <c r="B139">
        <v>32</v>
      </c>
      <c r="C139">
        <v>408</v>
      </c>
      <c r="D139" t="s">
        <v>21</v>
      </c>
      <c r="E139" t="s">
        <v>27</v>
      </c>
      <c r="F139">
        <v>26</v>
      </c>
      <c r="G139">
        <v>266.7</v>
      </c>
      <c r="H139">
        <v>109</v>
      </c>
      <c r="I139">
        <v>45.34</v>
      </c>
      <c r="J139">
        <v>232.3</v>
      </c>
      <c r="K139">
        <v>107</v>
      </c>
      <c r="L139">
        <v>19.75</v>
      </c>
      <c r="M139">
        <v>212.8</v>
      </c>
      <c r="N139">
        <v>98</v>
      </c>
      <c r="O139">
        <v>9.58</v>
      </c>
      <c r="P139">
        <v>16.3</v>
      </c>
      <c r="Q139">
        <v>4</v>
      </c>
      <c r="R139">
        <v>4.4000000000000004</v>
      </c>
      <c r="S139">
        <v>1</v>
      </c>
      <c r="T139" t="b">
        <v>0</v>
      </c>
      <c r="U139" t="str">
        <f t="shared" si="10"/>
        <v>High Usage</v>
      </c>
      <c r="V139" t="str">
        <f t="shared" si="11"/>
        <v>Normal</v>
      </c>
      <c r="W139" t="str">
        <f t="shared" si="12"/>
        <v>Potential Churn</v>
      </c>
      <c r="X139" t="str">
        <f t="shared" si="13"/>
        <v>Low</v>
      </c>
      <c r="Y139">
        <f t="shared" si="14"/>
        <v>32</v>
      </c>
    </row>
    <row r="140" spans="1:25">
      <c r="A140" t="s">
        <v>56</v>
      </c>
      <c r="B140">
        <v>3</v>
      </c>
      <c r="C140">
        <v>415</v>
      </c>
      <c r="D140" t="s">
        <v>21</v>
      </c>
      <c r="E140" t="s">
        <v>27</v>
      </c>
      <c r="F140">
        <v>36</v>
      </c>
      <c r="G140">
        <v>118.1</v>
      </c>
      <c r="H140">
        <v>117</v>
      </c>
      <c r="I140">
        <v>20.079999999999998</v>
      </c>
      <c r="J140">
        <v>221.5</v>
      </c>
      <c r="K140">
        <v>125</v>
      </c>
      <c r="L140">
        <v>18.829999999999998</v>
      </c>
      <c r="M140">
        <v>103.9</v>
      </c>
      <c r="N140">
        <v>89</v>
      </c>
      <c r="O140">
        <v>4.68</v>
      </c>
      <c r="P140">
        <v>11.9</v>
      </c>
      <c r="Q140">
        <v>6</v>
      </c>
      <c r="R140">
        <v>3.21</v>
      </c>
      <c r="S140">
        <v>2</v>
      </c>
      <c r="T140" t="b">
        <v>0</v>
      </c>
      <c r="U140" t="str">
        <f t="shared" si="10"/>
        <v>Normal Usage</v>
      </c>
      <c r="V140" t="str">
        <f t="shared" si="11"/>
        <v>Normal</v>
      </c>
      <c r="W140" t="str">
        <f t="shared" si="12"/>
        <v>Stable</v>
      </c>
      <c r="X140" t="str">
        <f t="shared" si="13"/>
        <v>Low</v>
      </c>
      <c r="Y140">
        <f t="shared" si="14"/>
        <v>3</v>
      </c>
    </row>
    <row r="141" spans="1:25">
      <c r="A141" t="s">
        <v>58</v>
      </c>
      <c r="B141">
        <v>119</v>
      </c>
      <c r="C141">
        <v>415</v>
      </c>
      <c r="D141" t="s">
        <v>21</v>
      </c>
      <c r="E141" t="s">
        <v>21</v>
      </c>
      <c r="F141">
        <v>0</v>
      </c>
      <c r="G141">
        <v>176.8</v>
      </c>
      <c r="H141">
        <v>90</v>
      </c>
      <c r="I141">
        <v>30.06</v>
      </c>
      <c r="J141">
        <v>224.7</v>
      </c>
      <c r="K141">
        <v>81</v>
      </c>
      <c r="L141">
        <v>19.100000000000001</v>
      </c>
      <c r="M141">
        <v>204.6</v>
      </c>
      <c r="N141">
        <v>77</v>
      </c>
      <c r="O141">
        <v>9.2100000000000009</v>
      </c>
      <c r="P141">
        <v>7.5</v>
      </c>
      <c r="Q141">
        <v>15</v>
      </c>
      <c r="R141">
        <v>2.0299999999999998</v>
      </c>
      <c r="S141">
        <v>1</v>
      </c>
      <c r="T141" t="b">
        <v>0</v>
      </c>
      <c r="U141" t="str">
        <f t="shared" si="10"/>
        <v>Normal Usage</v>
      </c>
      <c r="V141" t="str">
        <f t="shared" si="11"/>
        <v>Normal</v>
      </c>
      <c r="W141" t="str">
        <f t="shared" si="12"/>
        <v>Stable</v>
      </c>
      <c r="X141" t="str">
        <f t="shared" si="13"/>
        <v>Low</v>
      </c>
      <c r="Y141">
        <f t="shared" si="14"/>
        <v>119</v>
      </c>
    </row>
    <row r="142" spans="1:25">
      <c r="A142" t="s">
        <v>20</v>
      </c>
      <c r="B142">
        <v>43</v>
      </c>
      <c r="C142">
        <v>415</v>
      </c>
      <c r="D142" t="s">
        <v>21</v>
      </c>
      <c r="E142" t="s">
        <v>21</v>
      </c>
      <c r="F142">
        <v>0</v>
      </c>
      <c r="G142">
        <v>241.9</v>
      </c>
      <c r="H142">
        <v>101</v>
      </c>
      <c r="I142">
        <v>41.12</v>
      </c>
      <c r="J142">
        <v>129.4</v>
      </c>
      <c r="K142">
        <v>121</v>
      </c>
      <c r="L142">
        <v>11</v>
      </c>
      <c r="M142">
        <v>264.8</v>
      </c>
      <c r="N142">
        <v>104</v>
      </c>
      <c r="O142">
        <v>11.92</v>
      </c>
      <c r="P142">
        <v>5.9</v>
      </c>
      <c r="Q142">
        <v>3</v>
      </c>
      <c r="R142">
        <v>1.59</v>
      </c>
      <c r="S142">
        <v>1</v>
      </c>
      <c r="T142" t="b">
        <v>0</v>
      </c>
      <c r="U142" t="str">
        <f t="shared" si="10"/>
        <v>High Usage</v>
      </c>
      <c r="V142" t="str">
        <f t="shared" si="11"/>
        <v>Normal</v>
      </c>
      <c r="W142" t="str">
        <f t="shared" si="12"/>
        <v>Stable</v>
      </c>
      <c r="X142" t="str">
        <f t="shared" si="13"/>
        <v>Low</v>
      </c>
      <c r="Y142">
        <f t="shared" si="14"/>
        <v>43</v>
      </c>
    </row>
    <row r="143" spans="1:25">
      <c r="A143" t="s">
        <v>52</v>
      </c>
      <c r="B143">
        <v>116</v>
      </c>
      <c r="C143">
        <v>510</v>
      </c>
      <c r="D143" t="s">
        <v>21</v>
      </c>
      <c r="E143" t="s">
        <v>21</v>
      </c>
      <c r="F143">
        <v>0</v>
      </c>
      <c r="G143">
        <v>189.5</v>
      </c>
      <c r="H143">
        <v>90</v>
      </c>
      <c r="I143">
        <v>32.22</v>
      </c>
      <c r="J143">
        <v>189.8</v>
      </c>
      <c r="K143">
        <v>118</v>
      </c>
      <c r="L143">
        <v>16.13</v>
      </c>
      <c r="M143">
        <v>205.8</v>
      </c>
      <c r="N143">
        <v>83</v>
      </c>
      <c r="O143">
        <v>9.26</v>
      </c>
      <c r="P143">
        <v>13.1</v>
      </c>
      <c r="Q143">
        <v>2</v>
      </c>
      <c r="R143">
        <v>3.54</v>
      </c>
      <c r="S143">
        <v>1</v>
      </c>
      <c r="T143" t="b">
        <v>0</v>
      </c>
      <c r="U143" t="str">
        <f t="shared" si="10"/>
        <v>Normal Usage</v>
      </c>
      <c r="V143" t="str">
        <f t="shared" si="11"/>
        <v>Normal</v>
      </c>
      <c r="W143" t="str">
        <f t="shared" si="12"/>
        <v>Stable</v>
      </c>
      <c r="X143" t="str">
        <f t="shared" si="13"/>
        <v>Low</v>
      </c>
      <c r="Y143">
        <f t="shared" si="14"/>
        <v>116</v>
      </c>
    </row>
    <row r="144" spans="1:25">
      <c r="A144" t="s">
        <v>66</v>
      </c>
      <c r="B144">
        <v>107</v>
      </c>
      <c r="C144">
        <v>415</v>
      </c>
      <c r="D144" t="s">
        <v>21</v>
      </c>
      <c r="E144" t="s">
        <v>21</v>
      </c>
      <c r="F144">
        <v>0</v>
      </c>
      <c r="G144">
        <v>123.1</v>
      </c>
      <c r="H144">
        <v>100</v>
      </c>
      <c r="I144">
        <v>20.93</v>
      </c>
      <c r="J144">
        <v>158.4</v>
      </c>
      <c r="K144">
        <v>82</v>
      </c>
      <c r="L144">
        <v>13.46</v>
      </c>
      <c r="M144">
        <v>256.10000000000002</v>
      </c>
      <c r="N144">
        <v>82</v>
      </c>
      <c r="O144">
        <v>11.52</v>
      </c>
      <c r="P144">
        <v>9.3000000000000007</v>
      </c>
      <c r="Q144">
        <v>5</v>
      </c>
      <c r="R144">
        <v>2.5099999999999998</v>
      </c>
      <c r="S144">
        <v>0</v>
      </c>
      <c r="T144" t="b">
        <v>0</v>
      </c>
      <c r="U144" t="str">
        <f t="shared" si="10"/>
        <v>Normal Usage</v>
      </c>
      <c r="V144" t="str">
        <f t="shared" si="11"/>
        <v>Normal</v>
      </c>
      <c r="W144" t="str">
        <f t="shared" si="12"/>
        <v>Stable</v>
      </c>
      <c r="X144" t="str">
        <f t="shared" si="13"/>
        <v>Low</v>
      </c>
      <c r="Y144">
        <f t="shared" si="14"/>
        <v>107</v>
      </c>
    </row>
    <row r="145" spans="1:25">
      <c r="A145" t="s">
        <v>68</v>
      </c>
      <c r="B145">
        <v>123</v>
      </c>
      <c r="C145">
        <v>408</v>
      </c>
      <c r="D145" t="s">
        <v>21</v>
      </c>
      <c r="E145" t="s">
        <v>21</v>
      </c>
      <c r="F145">
        <v>0</v>
      </c>
      <c r="G145">
        <v>159.1</v>
      </c>
      <c r="H145">
        <v>94</v>
      </c>
      <c r="I145">
        <v>27.05</v>
      </c>
      <c r="J145">
        <v>241.6</v>
      </c>
      <c r="K145">
        <v>119</v>
      </c>
      <c r="L145">
        <v>20.54</v>
      </c>
      <c r="M145">
        <v>202.4</v>
      </c>
      <c r="N145">
        <v>120</v>
      </c>
      <c r="O145">
        <v>9.11</v>
      </c>
      <c r="P145">
        <v>6.5</v>
      </c>
      <c r="Q145">
        <v>1</v>
      </c>
      <c r="R145">
        <v>1.76</v>
      </c>
      <c r="S145">
        <v>1</v>
      </c>
      <c r="T145" t="b">
        <v>0</v>
      </c>
      <c r="U145" t="str">
        <f t="shared" si="10"/>
        <v>Normal Usage</v>
      </c>
      <c r="V145" t="str">
        <f t="shared" si="11"/>
        <v>Normal</v>
      </c>
      <c r="W145" t="str">
        <f t="shared" si="12"/>
        <v>Stable</v>
      </c>
      <c r="X145" t="str">
        <f t="shared" si="13"/>
        <v>Low</v>
      </c>
      <c r="Y145">
        <f t="shared" si="14"/>
        <v>123</v>
      </c>
    </row>
    <row r="146" spans="1:25">
      <c r="A146" t="s">
        <v>26</v>
      </c>
      <c r="B146">
        <v>110</v>
      </c>
      <c r="C146">
        <v>408</v>
      </c>
      <c r="D146" t="s">
        <v>21</v>
      </c>
      <c r="E146" t="s">
        <v>21</v>
      </c>
      <c r="F146">
        <v>0</v>
      </c>
      <c r="G146">
        <v>100.1</v>
      </c>
      <c r="H146">
        <v>90</v>
      </c>
      <c r="I146">
        <v>17.02</v>
      </c>
      <c r="J146">
        <v>233.3</v>
      </c>
      <c r="K146">
        <v>93</v>
      </c>
      <c r="L146">
        <v>19.829999999999998</v>
      </c>
      <c r="M146">
        <v>204.4</v>
      </c>
      <c r="N146">
        <v>57</v>
      </c>
      <c r="O146">
        <v>9.1999999999999993</v>
      </c>
      <c r="P146">
        <v>11.1</v>
      </c>
      <c r="Q146">
        <v>8</v>
      </c>
      <c r="R146">
        <v>3</v>
      </c>
      <c r="S146">
        <v>3</v>
      </c>
      <c r="T146" t="b">
        <v>0</v>
      </c>
      <c r="U146" t="str">
        <f t="shared" si="10"/>
        <v>Normal Usage</v>
      </c>
      <c r="V146" t="str">
        <f t="shared" si="11"/>
        <v>Normal</v>
      </c>
      <c r="W146" t="str">
        <f t="shared" si="12"/>
        <v>Stable</v>
      </c>
      <c r="X146" t="str">
        <f t="shared" si="13"/>
        <v>Medium</v>
      </c>
      <c r="Y146">
        <f t="shared" si="14"/>
        <v>110</v>
      </c>
    </row>
    <row r="147" spans="1:25">
      <c r="A147" t="s">
        <v>62</v>
      </c>
      <c r="B147">
        <v>176</v>
      </c>
      <c r="C147">
        <v>415</v>
      </c>
      <c r="D147" t="s">
        <v>21</v>
      </c>
      <c r="E147" t="s">
        <v>21</v>
      </c>
      <c r="F147">
        <v>0</v>
      </c>
      <c r="G147">
        <v>223.2</v>
      </c>
      <c r="H147">
        <v>76</v>
      </c>
      <c r="I147">
        <v>37.94</v>
      </c>
      <c r="J147">
        <v>214.4</v>
      </c>
      <c r="K147">
        <v>131</v>
      </c>
      <c r="L147">
        <v>18.22</v>
      </c>
      <c r="M147">
        <v>154.4</v>
      </c>
      <c r="N147">
        <v>80</v>
      </c>
      <c r="O147">
        <v>6.95</v>
      </c>
      <c r="P147">
        <v>10.1</v>
      </c>
      <c r="Q147">
        <v>2</v>
      </c>
      <c r="R147">
        <v>2.73</v>
      </c>
      <c r="S147">
        <v>3</v>
      </c>
      <c r="T147" t="b">
        <v>0</v>
      </c>
      <c r="U147" t="str">
        <f t="shared" si="10"/>
        <v>High Usage</v>
      </c>
      <c r="V147" t="str">
        <f t="shared" si="11"/>
        <v>Normal</v>
      </c>
      <c r="W147" t="str">
        <f t="shared" si="12"/>
        <v>Stable</v>
      </c>
      <c r="X147" t="str">
        <f t="shared" si="13"/>
        <v>Medium</v>
      </c>
      <c r="Y147">
        <f t="shared" si="14"/>
        <v>176</v>
      </c>
    </row>
    <row r="148" spans="1:25">
      <c r="A148" t="s">
        <v>32</v>
      </c>
      <c r="B148">
        <v>13</v>
      </c>
      <c r="C148">
        <v>510</v>
      </c>
      <c r="D148" t="s">
        <v>21</v>
      </c>
      <c r="E148" t="s">
        <v>27</v>
      </c>
      <c r="F148">
        <v>21</v>
      </c>
      <c r="G148">
        <v>315.60000000000002</v>
      </c>
      <c r="H148">
        <v>105</v>
      </c>
      <c r="I148">
        <v>53.65</v>
      </c>
      <c r="J148">
        <v>208.9</v>
      </c>
      <c r="K148">
        <v>71</v>
      </c>
      <c r="L148">
        <v>17.760000000000002</v>
      </c>
      <c r="M148">
        <v>260.10000000000002</v>
      </c>
      <c r="N148">
        <v>123</v>
      </c>
      <c r="O148">
        <v>11.7</v>
      </c>
      <c r="P148">
        <v>12.1</v>
      </c>
      <c r="Q148">
        <v>3</v>
      </c>
      <c r="R148">
        <v>3.27</v>
      </c>
      <c r="S148">
        <v>3</v>
      </c>
      <c r="T148" t="b">
        <v>0</v>
      </c>
      <c r="U148" t="str">
        <f t="shared" si="10"/>
        <v>High Usage</v>
      </c>
      <c r="V148" t="str">
        <f t="shared" si="11"/>
        <v>Normal</v>
      </c>
      <c r="W148" t="str">
        <f t="shared" si="12"/>
        <v>Potential Churn</v>
      </c>
      <c r="X148" t="str">
        <f t="shared" si="13"/>
        <v>Medium</v>
      </c>
      <c r="Y148">
        <f t="shared" si="14"/>
        <v>13</v>
      </c>
    </row>
    <row r="149" spans="1:25">
      <c r="A149" t="s">
        <v>52</v>
      </c>
      <c r="B149">
        <v>88</v>
      </c>
      <c r="C149">
        <v>415</v>
      </c>
      <c r="D149" t="s">
        <v>21</v>
      </c>
      <c r="E149" t="s">
        <v>21</v>
      </c>
      <c r="F149">
        <v>0</v>
      </c>
      <c r="G149">
        <v>189.8</v>
      </c>
      <c r="H149">
        <v>111</v>
      </c>
      <c r="I149">
        <v>32.270000000000003</v>
      </c>
      <c r="J149">
        <v>197.3</v>
      </c>
      <c r="K149">
        <v>101</v>
      </c>
      <c r="L149">
        <v>16.77</v>
      </c>
      <c r="M149">
        <v>234.5</v>
      </c>
      <c r="N149">
        <v>111</v>
      </c>
      <c r="O149">
        <v>10.55</v>
      </c>
      <c r="P149">
        <v>14.9</v>
      </c>
      <c r="Q149">
        <v>3</v>
      </c>
      <c r="R149">
        <v>4.0199999999999996</v>
      </c>
      <c r="S149">
        <v>2</v>
      </c>
      <c r="T149" t="b">
        <v>0</v>
      </c>
      <c r="U149" t="str">
        <f t="shared" si="10"/>
        <v>Normal Usage</v>
      </c>
      <c r="V149" t="str">
        <f t="shared" si="11"/>
        <v>Normal</v>
      </c>
      <c r="W149" t="str">
        <f t="shared" si="12"/>
        <v>Stable</v>
      </c>
      <c r="X149" t="str">
        <f t="shared" si="13"/>
        <v>Low</v>
      </c>
      <c r="Y149">
        <f t="shared" si="14"/>
        <v>88</v>
      </c>
    </row>
    <row r="150" spans="1:25">
      <c r="A150" t="s">
        <v>64</v>
      </c>
      <c r="B150">
        <v>92</v>
      </c>
      <c r="C150">
        <v>510</v>
      </c>
      <c r="D150" t="s">
        <v>21</v>
      </c>
      <c r="E150" t="s">
        <v>27</v>
      </c>
      <c r="F150">
        <v>29</v>
      </c>
      <c r="G150">
        <v>155.4</v>
      </c>
      <c r="H150">
        <v>110</v>
      </c>
      <c r="I150">
        <v>26.42</v>
      </c>
      <c r="J150">
        <v>188.5</v>
      </c>
      <c r="K150">
        <v>104</v>
      </c>
      <c r="L150">
        <v>16.02</v>
      </c>
      <c r="M150">
        <v>254.9</v>
      </c>
      <c r="N150">
        <v>118</v>
      </c>
      <c r="O150">
        <v>11.47</v>
      </c>
      <c r="P150">
        <v>8</v>
      </c>
      <c r="Q150">
        <v>4</v>
      </c>
      <c r="R150">
        <v>2.16</v>
      </c>
      <c r="S150">
        <v>3</v>
      </c>
      <c r="T150" t="b">
        <v>0</v>
      </c>
      <c r="U150" t="str">
        <f t="shared" si="10"/>
        <v>Normal Usage</v>
      </c>
      <c r="V150" t="str">
        <f t="shared" si="11"/>
        <v>Normal</v>
      </c>
      <c r="W150" t="str">
        <f t="shared" si="12"/>
        <v>Stable</v>
      </c>
      <c r="X150" t="str">
        <f t="shared" si="13"/>
        <v>Medium</v>
      </c>
      <c r="Y150">
        <f t="shared" si="14"/>
        <v>92</v>
      </c>
    </row>
    <row r="151" spans="1:25">
      <c r="A151" t="s">
        <v>31</v>
      </c>
      <c r="B151">
        <v>165</v>
      </c>
      <c r="C151">
        <v>510</v>
      </c>
      <c r="D151" t="s">
        <v>21</v>
      </c>
      <c r="E151" t="s">
        <v>21</v>
      </c>
      <c r="F151">
        <v>0</v>
      </c>
      <c r="G151">
        <v>154.19999999999999</v>
      </c>
      <c r="H151">
        <v>91</v>
      </c>
      <c r="I151">
        <v>26.21</v>
      </c>
      <c r="J151">
        <v>268.60000000000002</v>
      </c>
      <c r="K151">
        <v>108</v>
      </c>
      <c r="L151">
        <v>22.83</v>
      </c>
      <c r="M151">
        <v>188.8</v>
      </c>
      <c r="N151">
        <v>99</v>
      </c>
      <c r="O151">
        <v>8.5</v>
      </c>
      <c r="P151">
        <v>10.9</v>
      </c>
      <c r="Q151">
        <v>4</v>
      </c>
      <c r="R151">
        <v>2.94</v>
      </c>
      <c r="S151">
        <v>6</v>
      </c>
      <c r="T151" t="b">
        <v>0</v>
      </c>
      <c r="U151" t="str">
        <f t="shared" si="10"/>
        <v>Normal Usage</v>
      </c>
      <c r="V151" t="str">
        <f t="shared" si="11"/>
        <v>Normal</v>
      </c>
      <c r="W151" t="str">
        <f t="shared" si="12"/>
        <v>Potential Churn</v>
      </c>
      <c r="X151" t="str">
        <f t="shared" si="13"/>
        <v>Critical</v>
      </c>
      <c r="Y151">
        <f t="shared" si="14"/>
        <v>165</v>
      </c>
    </row>
    <row r="152" spans="1:25">
      <c r="A152" t="s">
        <v>69</v>
      </c>
      <c r="B152">
        <v>156</v>
      </c>
      <c r="C152">
        <v>415</v>
      </c>
      <c r="D152" t="s">
        <v>21</v>
      </c>
      <c r="E152" t="s">
        <v>21</v>
      </c>
      <c r="F152">
        <v>0</v>
      </c>
      <c r="G152">
        <v>178.8</v>
      </c>
      <c r="H152">
        <v>94</v>
      </c>
      <c r="I152">
        <v>30.4</v>
      </c>
      <c r="J152">
        <v>178.4</v>
      </c>
      <c r="K152">
        <v>97</v>
      </c>
      <c r="L152">
        <v>15.16</v>
      </c>
      <c r="M152">
        <v>169.2</v>
      </c>
      <c r="N152">
        <v>77</v>
      </c>
      <c r="O152">
        <v>7.61</v>
      </c>
      <c r="P152">
        <v>7.5</v>
      </c>
      <c r="Q152">
        <v>3</v>
      </c>
      <c r="R152">
        <v>2.0299999999999998</v>
      </c>
      <c r="S152">
        <v>1</v>
      </c>
      <c r="T152" t="b">
        <v>0</v>
      </c>
      <c r="U152" t="str">
        <f t="shared" si="10"/>
        <v>Normal Usage</v>
      </c>
      <c r="V152" t="str">
        <f t="shared" si="11"/>
        <v>Normal</v>
      </c>
      <c r="W152" t="str">
        <f t="shared" si="12"/>
        <v>Stable</v>
      </c>
      <c r="X152" t="str">
        <f t="shared" si="13"/>
        <v>Low</v>
      </c>
      <c r="Y152">
        <f t="shared" si="14"/>
        <v>156</v>
      </c>
    </row>
    <row r="153" spans="1:25">
      <c r="A153" t="s">
        <v>40</v>
      </c>
      <c r="B153">
        <v>63</v>
      </c>
      <c r="C153">
        <v>408</v>
      </c>
      <c r="D153" t="s">
        <v>21</v>
      </c>
      <c r="E153" t="s">
        <v>21</v>
      </c>
      <c r="F153">
        <v>0</v>
      </c>
      <c r="G153">
        <v>149.30000000000001</v>
      </c>
      <c r="H153">
        <v>104</v>
      </c>
      <c r="I153">
        <v>25.38</v>
      </c>
      <c r="J153">
        <v>273.60000000000002</v>
      </c>
      <c r="K153">
        <v>75</v>
      </c>
      <c r="L153">
        <v>23.26</v>
      </c>
      <c r="M153">
        <v>206.6</v>
      </c>
      <c r="N153">
        <v>72</v>
      </c>
      <c r="O153">
        <v>9.3000000000000007</v>
      </c>
      <c r="P153">
        <v>9.1</v>
      </c>
      <c r="Q153">
        <v>4</v>
      </c>
      <c r="R153">
        <v>2.46</v>
      </c>
      <c r="S153">
        <v>0</v>
      </c>
      <c r="T153" t="b">
        <v>0</v>
      </c>
      <c r="U153" t="str">
        <f t="shared" si="10"/>
        <v>Normal Usage</v>
      </c>
      <c r="V153" t="str">
        <f t="shared" si="11"/>
        <v>Normal</v>
      </c>
      <c r="W153" t="str">
        <f t="shared" si="12"/>
        <v>Stable</v>
      </c>
      <c r="X153" t="str">
        <f t="shared" si="13"/>
        <v>Low</v>
      </c>
      <c r="Y153">
        <f t="shared" si="14"/>
        <v>63</v>
      </c>
    </row>
    <row r="154" spans="1:25">
      <c r="A154" t="s">
        <v>29</v>
      </c>
      <c r="B154">
        <v>83</v>
      </c>
      <c r="C154">
        <v>415</v>
      </c>
      <c r="D154" t="s">
        <v>27</v>
      </c>
      <c r="E154" t="s">
        <v>27</v>
      </c>
      <c r="F154">
        <v>32</v>
      </c>
      <c r="G154">
        <v>94.7</v>
      </c>
      <c r="H154">
        <v>111</v>
      </c>
      <c r="I154">
        <v>16.100000000000001</v>
      </c>
      <c r="J154">
        <v>154.4</v>
      </c>
      <c r="K154">
        <v>98</v>
      </c>
      <c r="L154">
        <v>13.12</v>
      </c>
      <c r="M154">
        <v>200.4</v>
      </c>
      <c r="N154">
        <v>109</v>
      </c>
      <c r="O154">
        <v>9.02</v>
      </c>
      <c r="P154">
        <v>10.6</v>
      </c>
      <c r="Q154">
        <v>6</v>
      </c>
      <c r="R154">
        <v>2.86</v>
      </c>
      <c r="S154">
        <v>2</v>
      </c>
      <c r="T154" t="b">
        <v>0</v>
      </c>
      <c r="U154" t="str">
        <f t="shared" si="10"/>
        <v>Normal Usage</v>
      </c>
      <c r="V154" t="str">
        <f t="shared" si="11"/>
        <v>Normal</v>
      </c>
      <c r="W154" t="str">
        <f t="shared" si="12"/>
        <v>Stable</v>
      </c>
      <c r="X154" t="str">
        <f t="shared" si="13"/>
        <v>Low</v>
      </c>
      <c r="Y154">
        <f t="shared" si="14"/>
        <v>83</v>
      </c>
    </row>
    <row r="155" spans="1:25">
      <c r="A155" t="s">
        <v>30</v>
      </c>
      <c r="B155">
        <v>158</v>
      </c>
      <c r="C155">
        <v>415</v>
      </c>
      <c r="D155" t="s">
        <v>21</v>
      </c>
      <c r="E155" t="s">
        <v>21</v>
      </c>
      <c r="F155">
        <v>0</v>
      </c>
      <c r="G155">
        <v>222.8</v>
      </c>
      <c r="H155">
        <v>101</v>
      </c>
      <c r="I155">
        <v>37.880000000000003</v>
      </c>
      <c r="J155">
        <v>203</v>
      </c>
      <c r="K155">
        <v>128</v>
      </c>
      <c r="L155">
        <v>17.260000000000002</v>
      </c>
      <c r="M155">
        <v>210.6</v>
      </c>
      <c r="N155">
        <v>106</v>
      </c>
      <c r="O155">
        <v>9.48</v>
      </c>
      <c r="P155">
        <v>6.9</v>
      </c>
      <c r="Q155">
        <v>2</v>
      </c>
      <c r="R155">
        <v>1.86</v>
      </c>
      <c r="S155">
        <v>2</v>
      </c>
      <c r="T155" t="b">
        <v>0</v>
      </c>
      <c r="U155" t="str">
        <f t="shared" si="10"/>
        <v>High Usage</v>
      </c>
      <c r="V155" t="str">
        <f t="shared" si="11"/>
        <v>Normal</v>
      </c>
      <c r="W155" t="str">
        <f t="shared" si="12"/>
        <v>Stable</v>
      </c>
      <c r="X155" t="str">
        <f t="shared" si="13"/>
        <v>Low</v>
      </c>
      <c r="Y155">
        <f t="shared" si="14"/>
        <v>158</v>
      </c>
    </row>
    <row r="156" spans="1:25">
      <c r="A156" t="s">
        <v>66</v>
      </c>
      <c r="B156">
        <v>115</v>
      </c>
      <c r="C156">
        <v>510</v>
      </c>
      <c r="D156" t="s">
        <v>27</v>
      </c>
      <c r="E156" t="s">
        <v>21</v>
      </c>
      <c r="F156">
        <v>0</v>
      </c>
      <c r="G156">
        <v>249.9</v>
      </c>
      <c r="H156">
        <v>95</v>
      </c>
      <c r="I156">
        <v>42.48</v>
      </c>
      <c r="J156">
        <v>242.5</v>
      </c>
      <c r="K156">
        <v>104</v>
      </c>
      <c r="L156">
        <v>20.61</v>
      </c>
      <c r="M156">
        <v>151.69999999999999</v>
      </c>
      <c r="N156">
        <v>121</v>
      </c>
      <c r="O156">
        <v>6.83</v>
      </c>
      <c r="P156">
        <v>15.3</v>
      </c>
      <c r="Q156">
        <v>6</v>
      </c>
      <c r="R156">
        <v>4.13</v>
      </c>
      <c r="S156">
        <v>1</v>
      </c>
      <c r="T156" t="b">
        <v>1</v>
      </c>
      <c r="U156" t="str">
        <f t="shared" si="10"/>
        <v>High Usage</v>
      </c>
      <c r="V156" t="str">
        <f t="shared" si="11"/>
        <v>Normal</v>
      </c>
      <c r="W156" t="str">
        <f t="shared" si="12"/>
        <v>Stable</v>
      </c>
      <c r="X156" t="str">
        <f t="shared" si="13"/>
        <v>Low</v>
      </c>
      <c r="Y156">
        <f t="shared" si="14"/>
        <v>115</v>
      </c>
    </row>
    <row r="157" spans="1:25">
      <c r="A157" t="s">
        <v>59</v>
      </c>
      <c r="B157">
        <v>103</v>
      </c>
      <c r="C157">
        <v>510</v>
      </c>
      <c r="D157" t="s">
        <v>21</v>
      </c>
      <c r="E157" t="s">
        <v>27</v>
      </c>
      <c r="F157">
        <v>36</v>
      </c>
      <c r="G157">
        <v>87.2</v>
      </c>
      <c r="H157">
        <v>92</v>
      </c>
      <c r="I157">
        <v>14.82</v>
      </c>
      <c r="J157">
        <v>169.3</v>
      </c>
      <c r="K157">
        <v>110</v>
      </c>
      <c r="L157">
        <v>14.39</v>
      </c>
      <c r="M157">
        <v>166.7</v>
      </c>
      <c r="N157">
        <v>80</v>
      </c>
      <c r="O157">
        <v>7.5</v>
      </c>
      <c r="P157">
        <v>10.9</v>
      </c>
      <c r="Q157">
        <v>5</v>
      </c>
      <c r="R157">
        <v>2.94</v>
      </c>
      <c r="S157">
        <v>6</v>
      </c>
      <c r="T157" t="b">
        <v>1</v>
      </c>
      <c r="U157" t="str">
        <f t="shared" si="10"/>
        <v>Normal Usage</v>
      </c>
      <c r="V157" t="str">
        <f t="shared" si="11"/>
        <v>Normal</v>
      </c>
      <c r="W157" t="str">
        <f t="shared" si="12"/>
        <v>Potential Churn</v>
      </c>
      <c r="X157" t="str">
        <f t="shared" si="13"/>
        <v>Critical</v>
      </c>
      <c r="Y157">
        <f t="shared" si="14"/>
        <v>103</v>
      </c>
    </row>
    <row r="158" spans="1:25">
      <c r="A158" t="s">
        <v>64</v>
      </c>
      <c r="B158">
        <v>64</v>
      </c>
      <c r="C158">
        <v>415</v>
      </c>
      <c r="D158" t="s">
        <v>21</v>
      </c>
      <c r="E158" t="s">
        <v>21</v>
      </c>
      <c r="F158">
        <v>0</v>
      </c>
      <c r="G158">
        <v>224.8</v>
      </c>
      <c r="H158">
        <v>111</v>
      </c>
      <c r="I158">
        <v>38.22</v>
      </c>
      <c r="J158">
        <v>190</v>
      </c>
      <c r="K158">
        <v>101</v>
      </c>
      <c r="L158">
        <v>16.149999999999999</v>
      </c>
      <c r="M158">
        <v>221.4</v>
      </c>
      <c r="N158">
        <v>110</v>
      </c>
      <c r="O158">
        <v>9.9600000000000009</v>
      </c>
      <c r="P158">
        <v>9.1999999999999993</v>
      </c>
      <c r="Q158">
        <v>2</v>
      </c>
      <c r="R158">
        <v>2.48</v>
      </c>
      <c r="S158">
        <v>1</v>
      </c>
      <c r="T158" t="b">
        <v>0</v>
      </c>
      <c r="U158" t="str">
        <f t="shared" si="10"/>
        <v>High Usage</v>
      </c>
      <c r="V158" t="str">
        <f t="shared" si="11"/>
        <v>Normal</v>
      </c>
      <c r="W158" t="str">
        <f t="shared" si="12"/>
        <v>Stable</v>
      </c>
      <c r="X158" t="str">
        <f t="shared" si="13"/>
        <v>Low</v>
      </c>
      <c r="Y158">
        <f t="shared" si="14"/>
        <v>64</v>
      </c>
    </row>
    <row r="159" spans="1:25">
      <c r="A159" t="s">
        <v>49</v>
      </c>
      <c r="B159">
        <v>86</v>
      </c>
      <c r="C159">
        <v>510</v>
      </c>
      <c r="D159" t="s">
        <v>21</v>
      </c>
      <c r="E159" t="s">
        <v>27</v>
      </c>
      <c r="F159">
        <v>39</v>
      </c>
      <c r="G159">
        <v>261.2</v>
      </c>
      <c r="H159">
        <v>122</v>
      </c>
      <c r="I159">
        <v>44.4</v>
      </c>
      <c r="J159">
        <v>214.2</v>
      </c>
      <c r="K159">
        <v>101</v>
      </c>
      <c r="L159">
        <v>18.21</v>
      </c>
      <c r="M159">
        <v>154.9</v>
      </c>
      <c r="N159">
        <v>101</v>
      </c>
      <c r="O159">
        <v>6.97</v>
      </c>
      <c r="P159">
        <v>12.7</v>
      </c>
      <c r="Q159">
        <v>5</v>
      </c>
      <c r="R159">
        <v>3.43</v>
      </c>
      <c r="S159">
        <v>2</v>
      </c>
      <c r="T159" t="b">
        <v>0</v>
      </c>
      <c r="U159" t="str">
        <f t="shared" si="10"/>
        <v>High Usage</v>
      </c>
      <c r="V159" t="str">
        <f t="shared" si="11"/>
        <v>Normal</v>
      </c>
      <c r="W159" t="str">
        <f t="shared" si="12"/>
        <v>Potential Churn</v>
      </c>
      <c r="X159" t="str">
        <f t="shared" si="13"/>
        <v>Low</v>
      </c>
      <c r="Y159">
        <f t="shared" si="14"/>
        <v>86</v>
      </c>
    </row>
    <row r="160" spans="1:25">
      <c r="A160" t="s">
        <v>62</v>
      </c>
      <c r="B160">
        <v>151</v>
      </c>
      <c r="C160">
        <v>415</v>
      </c>
      <c r="D160" t="s">
        <v>21</v>
      </c>
      <c r="E160" t="s">
        <v>27</v>
      </c>
      <c r="F160">
        <v>26</v>
      </c>
      <c r="G160">
        <v>196.5</v>
      </c>
      <c r="H160">
        <v>98</v>
      </c>
      <c r="I160">
        <v>33.409999999999997</v>
      </c>
      <c r="J160">
        <v>175.8</v>
      </c>
      <c r="K160">
        <v>111</v>
      </c>
      <c r="L160">
        <v>14.94</v>
      </c>
      <c r="M160">
        <v>221.8</v>
      </c>
      <c r="N160">
        <v>124</v>
      </c>
      <c r="O160">
        <v>9.98</v>
      </c>
      <c r="P160">
        <v>13.4</v>
      </c>
      <c r="Q160">
        <v>5</v>
      </c>
      <c r="R160">
        <v>3.62</v>
      </c>
      <c r="S160">
        <v>0</v>
      </c>
      <c r="T160" t="b">
        <v>0</v>
      </c>
      <c r="U160" t="str">
        <f t="shared" si="10"/>
        <v>Normal Usage</v>
      </c>
      <c r="V160" t="str">
        <f t="shared" si="11"/>
        <v>Normal</v>
      </c>
      <c r="W160" t="str">
        <f t="shared" si="12"/>
        <v>Stable</v>
      </c>
      <c r="X160" t="str">
        <f t="shared" si="13"/>
        <v>Low</v>
      </c>
      <c r="Y160">
        <f t="shared" si="14"/>
        <v>151</v>
      </c>
    </row>
    <row r="161" spans="1:25">
      <c r="A161" t="s">
        <v>46</v>
      </c>
      <c r="B161">
        <v>87</v>
      </c>
      <c r="C161">
        <v>510</v>
      </c>
      <c r="D161" t="s">
        <v>27</v>
      </c>
      <c r="E161" t="s">
        <v>21</v>
      </c>
      <c r="F161">
        <v>0</v>
      </c>
      <c r="G161">
        <v>167.3</v>
      </c>
      <c r="H161">
        <v>119</v>
      </c>
      <c r="I161">
        <v>28.44</v>
      </c>
      <c r="J161">
        <v>198.5</v>
      </c>
      <c r="K161">
        <v>119</v>
      </c>
      <c r="L161">
        <v>16.87</v>
      </c>
      <c r="M161">
        <v>133.1</v>
      </c>
      <c r="N161">
        <v>88</v>
      </c>
      <c r="O161">
        <v>5.99</v>
      </c>
      <c r="P161">
        <v>11</v>
      </c>
      <c r="Q161">
        <v>6</v>
      </c>
      <c r="R161">
        <v>2.97</v>
      </c>
      <c r="S161">
        <v>1</v>
      </c>
      <c r="T161" t="b">
        <v>0</v>
      </c>
      <c r="U161" t="str">
        <f t="shared" si="10"/>
        <v>Normal Usage</v>
      </c>
      <c r="V161" t="str">
        <f t="shared" si="11"/>
        <v>Normal</v>
      </c>
      <c r="W161" t="str">
        <f t="shared" si="12"/>
        <v>Stable</v>
      </c>
      <c r="X161" t="str">
        <f t="shared" si="13"/>
        <v>Low</v>
      </c>
      <c r="Y161">
        <f t="shared" si="14"/>
        <v>87</v>
      </c>
    </row>
    <row r="162" spans="1:25">
      <c r="A162" t="s">
        <v>48</v>
      </c>
      <c r="B162">
        <v>90</v>
      </c>
      <c r="C162">
        <v>415</v>
      </c>
      <c r="D162" t="s">
        <v>21</v>
      </c>
      <c r="E162" t="s">
        <v>21</v>
      </c>
      <c r="F162">
        <v>0</v>
      </c>
      <c r="G162">
        <v>109.6</v>
      </c>
      <c r="H162">
        <v>88</v>
      </c>
      <c r="I162">
        <v>18.63</v>
      </c>
      <c r="J162">
        <v>137.6</v>
      </c>
      <c r="K162">
        <v>108</v>
      </c>
      <c r="L162">
        <v>11.7</v>
      </c>
      <c r="M162">
        <v>159.69999999999999</v>
      </c>
      <c r="N162">
        <v>121</v>
      </c>
      <c r="O162">
        <v>7.19</v>
      </c>
      <c r="P162">
        <v>11</v>
      </c>
      <c r="Q162">
        <v>5</v>
      </c>
      <c r="R162">
        <v>2.97</v>
      </c>
      <c r="S162">
        <v>2</v>
      </c>
      <c r="T162" t="b">
        <v>0</v>
      </c>
      <c r="U162" t="str">
        <f t="shared" si="10"/>
        <v>Normal Usage</v>
      </c>
      <c r="V162" t="str">
        <f t="shared" si="11"/>
        <v>Normal</v>
      </c>
      <c r="W162" t="str">
        <f t="shared" si="12"/>
        <v>Stable</v>
      </c>
      <c r="X162" t="str">
        <f t="shared" si="13"/>
        <v>Low</v>
      </c>
      <c r="Y162">
        <f t="shared" si="14"/>
        <v>90</v>
      </c>
    </row>
    <row r="163" spans="1:25">
      <c r="A163" t="s">
        <v>20</v>
      </c>
      <c r="B163">
        <v>108</v>
      </c>
      <c r="C163">
        <v>510</v>
      </c>
      <c r="D163" t="s">
        <v>21</v>
      </c>
      <c r="E163" t="s">
        <v>27</v>
      </c>
      <c r="F163">
        <v>30</v>
      </c>
      <c r="G163">
        <v>276.60000000000002</v>
      </c>
      <c r="H163">
        <v>99</v>
      </c>
      <c r="I163">
        <v>47.02</v>
      </c>
      <c r="J163">
        <v>220.1</v>
      </c>
      <c r="K163">
        <v>113</v>
      </c>
      <c r="L163">
        <v>18.71</v>
      </c>
      <c r="M163">
        <v>177.9</v>
      </c>
      <c r="N163">
        <v>95</v>
      </c>
      <c r="O163">
        <v>8.01</v>
      </c>
      <c r="P163">
        <v>9.8000000000000007</v>
      </c>
      <c r="Q163">
        <v>6</v>
      </c>
      <c r="R163">
        <v>2.65</v>
      </c>
      <c r="S163">
        <v>2</v>
      </c>
      <c r="T163" t="b">
        <v>0</v>
      </c>
      <c r="U163" t="str">
        <f t="shared" si="10"/>
        <v>High Usage</v>
      </c>
      <c r="V163" t="str">
        <f t="shared" si="11"/>
        <v>Normal</v>
      </c>
      <c r="W163" t="str">
        <f t="shared" si="12"/>
        <v>Potential Churn</v>
      </c>
      <c r="X163" t="str">
        <f t="shared" si="13"/>
        <v>Low</v>
      </c>
      <c r="Y163">
        <f t="shared" si="14"/>
        <v>108</v>
      </c>
    </row>
    <row r="164" spans="1:25">
      <c r="A164" t="s">
        <v>70</v>
      </c>
      <c r="B164">
        <v>33</v>
      </c>
      <c r="C164">
        <v>415</v>
      </c>
      <c r="D164" t="s">
        <v>21</v>
      </c>
      <c r="E164" t="s">
        <v>27</v>
      </c>
      <c r="F164">
        <v>35</v>
      </c>
      <c r="G164">
        <v>186.8</v>
      </c>
      <c r="H164">
        <v>124</v>
      </c>
      <c r="I164">
        <v>31.76</v>
      </c>
      <c r="J164">
        <v>261</v>
      </c>
      <c r="K164">
        <v>69</v>
      </c>
      <c r="L164">
        <v>22.19</v>
      </c>
      <c r="M164">
        <v>317.8</v>
      </c>
      <c r="N164">
        <v>103</v>
      </c>
      <c r="O164">
        <v>14.3</v>
      </c>
      <c r="P164">
        <v>15</v>
      </c>
      <c r="Q164">
        <v>5</v>
      </c>
      <c r="R164">
        <v>4.05</v>
      </c>
      <c r="S164">
        <v>0</v>
      </c>
      <c r="T164" t="b">
        <v>0</v>
      </c>
      <c r="U164" t="str">
        <f t="shared" si="10"/>
        <v>Normal Usage</v>
      </c>
      <c r="V164" t="str">
        <f t="shared" si="11"/>
        <v>Normal</v>
      </c>
      <c r="W164" t="str">
        <f t="shared" si="12"/>
        <v>Stable</v>
      </c>
      <c r="X164" t="str">
        <f t="shared" si="13"/>
        <v>Low</v>
      </c>
      <c r="Y164">
        <f t="shared" si="14"/>
        <v>33</v>
      </c>
    </row>
    <row r="165" spans="1:25">
      <c r="A165" t="s">
        <v>31</v>
      </c>
      <c r="B165">
        <v>149</v>
      </c>
      <c r="C165">
        <v>415</v>
      </c>
      <c r="D165" t="s">
        <v>27</v>
      </c>
      <c r="E165" t="s">
        <v>27</v>
      </c>
      <c r="F165">
        <v>28</v>
      </c>
      <c r="G165">
        <v>126.9</v>
      </c>
      <c r="H165">
        <v>97</v>
      </c>
      <c r="I165">
        <v>21.57</v>
      </c>
      <c r="J165">
        <v>166.9</v>
      </c>
      <c r="K165">
        <v>102</v>
      </c>
      <c r="L165">
        <v>14.19</v>
      </c>
      <c r="M165">
        <v>145.19999999999999</v>
      </c>
      <c r="N165">
        <v>77</v>
      </c>
      <c r="O165">
        <v>6.53</v>
      </c>
      <c r="P165">
        <v>8.8000000000000007</v>
      </c>
      <c r="Q165">
        <v>3</v>
      </c>
      <c r="R165">
        <v>2.38</v>
      </c>
      <c r="S165">
        <v>5</v>
      </c>
      <c r="T165" t="b">
        <v>1</v>
      </c>
      <c r="U165" t="str">
        <f t="shared" si="10"/>
        <v>Normal Usage</v>
      </c>
      <c r="V165" t="str">
        <f t="shared" si="11"/>
        <v>High Risk</v>
      </c>
      <c r="W165" t="str">
        <f t="shared" si="12"/>
        <v>Potential Churn</v>
      </c>
      <c r="X165" t="str">
        <f t="shared" si="13"/>
        <v>Medium</v>
      </c>
      <c r="Y165">
        <f t="shared" si="14"/>
        <v>149</v>
      </c>
    </row>
    <row r="166" spans="1:25">
      <c r="A166" t="s">
        <v>34</v>
      </c>
      <c r="B166">
        <v>106</v>
      </c>
      <c r="C166">
        <v>510</v>
      </c>
      <c r="D166" t="s">
        <v>21</v>
      </c>
      <c r="E166" t="s">
        <v>21</v>
      </c>
      <c r="F166">
        <v>0</v>
      </c>
      <c r="G166">
        <v>169.4</v>
      </c>
      <c r="H166">
        <v>107</v>
      </c>
      <c r="I166">
        <v>28.8</v>
      </c>
      <c r="J166">
        <v>197.2</v>
      </c>
      <c r="K166">
        <v>71</v>
      </c>
      <c r="L166">
        <v>16.760000000000002</v>
      </c>
      <c r="M166">
        <v>202.2</v>
      </c>
      <c r="N166">
        <v>79</v>
      </c>
      <c r="O166">
        <v>9.1</v>
      </c>
      <c r="P166">
        <v>10.7</v>
      </c>
      <c r="Q166">
        <v>4</v>
      </c>
      <c r="R166">
        <v>2.89</v>
      </c>
      <c r="S166">
        <v>1</v>
      </c>
      <c r="T166" t="b">
        <v>0</v>
      </c>
      <c r="U166" t="str">
        <f t="shared" si="10"/>
        <v>Normal Usage</v>
      </c>
      <c r="V166" t="str">
        <f t="shared" si="11"/>
        <v>Normal</v>
      </c>
      <c r="W166" t="str">
        <f t="shared" si="12"/>
        <v>Stable</v>
      </c>
      <c r="X166" t="str">
        <f t="shared" si="13"/>
        <v>Low</v>
      </c>
      <c r="Y166">
        <f t="shared" si="14"/>
        <v>106</v>
      </c>
    </row>
    <row r="167" spans="1:25">
      <c r="A167" t="s">
        <v>68</v>
      </c>
      <c r="B167">
        <v>167</v>
      </c>
      <c r="C167">
        <v>408</v>
      </c>
      <c r="D167" t="s">
        <v>27</v>
      </c>
      <c r="E167" t="s">
        <v>21</v>
      </c>
      <c r="F167">
        <v>0</v>
      </c>
      <c r="G167">
        <v>219.1</v>
      </c>
      <c r="H167">
        <v>100</v>
      </c>
      <c r="I167">
        <v>37.25</v>
      </c>
      <c r="J167">
        <v>242.9</v>
      </c>
      <c r="K167">
        <v>90</v>
      </c>
      <c r="L167">
        <v>20.65</v>
      </c>
      <c r="M167">
        <v>168.9</v>
      </c>
      <c r="N167">
        <v>101</v>
      </c>
      <c r="O167">
        <v>7.6</v>
      </c>
      <c r="P167">
        <v>10.1</v>
      </c>
      <c r="Q167">
        <v>4</v>
      </c>
      <c r="R167">
        <v>2.73</v>
      </c>
      <c r="S167">
        <v>2</v>
      </c>
      <c r="T167" t="b">
        <v>0</v>
      </c>
      <c r="U167" t="str">
        <f t="shared" si="10"/>
        <v>High Usage</v>
      </c>
      <c r="V167" t="str">
        <f t="shared" si="11"/>
        <v>Normal</v>
      </c>
      <c r="W167" t="str">
        <f t="shared" si="12"/>
        <v>Stable</v>
      </c>
      <c r="X167" t="str">
        <f t="shared" si="13"/>
        <v>Low</v>
      </c>
      <c r="Y167">
        <f t="shared" si="14"/>
        <v>167</v>
      </c>
    </row>
    <row r="168" spans="1:25">
      <c r="A168" t="s">
        <v>31</v>
      </c>
      <c r="B168">
        <v>35</v>
      </c>
      <c r="C168">
        <v>510</v>
      </c>
      <c r="D168" t="s">
        <v>21</v>
      </c>
      <c r="E168" t="s">
        <v>27</v>
      </c>
      <c r="F168">
        <v>27</v>
      </c>
      <c r="G168">
        <v>241.7</v>
      </c>
      <c r="H168">
        <v>87</v>
      </c>
      <c r="I168">
        <v>41.09</v>
      </c>
      <c r="J168">
        <v>142</v>
      </c>
      <c r="K168">
        <v>101</v>
      </c>
      <c r="L168">
        <v>12.07</v>
      </c>
      <c r="M168">
        <v>288.89999999999998</v>
      </c>
      <c r="N168">
        <v>68</v>
      </c>
      <c r="O168">
        <v>13</v>
      </c>
      <c r="P168">
        <v>9.4</v>
      </c>
      <c r="Q168">
        <v>4</v>
      </c>
      <c r="R168">
        <v>2.54</v>
      </c>
      <c r="S168">
        <v>1</v>
      </c>
      <c r="T168" t="b">
        <v>0</v>
      </c>
      <c r="U168" t="str">
        <f t="shared" si="10"/>
        <v>High Usage</v>
      </c>
      <c r="V168" t="str">
        <f t="shared" si="11"/>
        <v>Normal</v>
      </c>
      <c r="W168" t="str">
        <f t="shared" si="12"/>
        <v>Stable</v>
      </c>
      <c r="X168" t="str">
        <f t="shared" si="13"/>
        <v>Low</v>
      </c>
      <c r="Y168">
        <f t="shared" si="14"/>
        <v>35</v>
      </c>
    </row>
    <row r="169" spans="1:25">
      <c r="A169" t="s">
        <v>43</v>
      </c>
      <c r="B169">
        <v>107</v>
      </c>
      <c r="C169">
        <v>415</v>
      </c>
      <c r="D169" t="s">
        <v>21</v>
      </c>
      <c r="E169" t="s">
        <v>27</v>
      </c>
      <c r="F169">
        <v>22</v>
      </c>
      <c r="G169">
        <v>281.10000000000002</v>
      </c>
      <c r="H169">
        <v>83</v>
      </c>
      <c r="I169">
        <v>47.79</v>
      </c>
      <c r="J169">
        <v>143.69999999999999</v>
      </c>
      <c r="K169">
        <v>130</v>
      </c>
      <c r="L169">
        <v>12.21</v>
      </c>
      <c r="M169">
        <v>239.4</v>
      </c>
      <c r="N169">
        <v>128</v>
      </c>
      <c r="O169">
        <v>10.77</v>
      </c>
      <c r="P169">
        <v>11.2</v>
      </c>
      <c r="Q169">
        <v>9</v>
      </c>
      <c r="R169">
        <v>3.02</v>
      </c>
      <c r="S169">
        <v>1</v>
      </c>
      <c r="T169" t="b">
        <v>0</v>
      </c>
      <c r="U169" t="str">
        <f t="shared" si="10"/>
        <v>High Usage</v>
      </c>
      <c r="V169" t="str">
        <f t="shared" si="11"/>
        <v>Normal</v>
      </c>
      <c r="W169" t="str">
        <f t="shared" si="12"/>
        <v>Potential Churn</v>
      </c>
      <c r="X169" t="str">
        <f t="shared" si="13"/>
        <v>Low</v>
      </c>
      <c r="Y169">
        <f t="shared" si="14"/>
        <v>107</v>
      </c>
    </row>
    <row r="170" spans="1:25">
      <c r="A170" t="s">
        <v>38</v>
      </c>
      <c r="B170">
        <v>92</v>
      </c>
      <c r="C170">
        <v>415</v>
      </c>
      <c r="D170" t="s">
        <v>27</v>
      </c>
      <c r="E170" t="s">
        <v>27</v>
      </c>
      <c r="F170">
        <v>45</v>
      </c>
      <c r="G170">
        <v>281.10000000000002</v>
      </c>
      <c r="H170">
        <v>88</v>
      </c>
      <c r="I170">
        <v>47.79</v>
      </c>
      <c r="J170">
        <v>198</v>
      </c>
      <c r="K170">
        <v>103</v>
      </c>
      <c r="L170">
        <v>16.829999999999998</v>
      </c>
      <c r="M170">
        <v>94.3</v>
      </c>
      <c r="N170">
        <v>76</v>
      </c>
      <c r="O170">
        <v>4.24</v>
      </c>
      <c r="P170">
        <v>7.5</v>
      </c>
      <c r="Q170">
        <v>3</v>
      </c>
      <c r="R170">
        <v>2.0299999999999998</v>
      </c>
      <c r="S170">
        <v>0</v>
      </c>
      <c r="T170" t="b">
        <v>0</v>
      </c>
      <c r="U170" t="str">
        <f t="shared" si="10"/>
        <v>High Usage</v>
      </c>
      <c r="V170" t="str">
        <f t="shared" si="11"/>
        <v>Normal</v>
      </c>
      <c r="W170" t="str">
        <f t="shared" si="12"/>
        <v>Potential Churn</v>
      </c>
      <c r="X170" t="str">
        <f t="shared" si="13"/>
        <v>Low</v>
      </c>
      <c r="Y170">
        <f t="shared" si="14"/>
        <v>92</v>
      </c>
    </row>
    <row r="171" spans="1:25">
      <c r="A171" t="s">
        <v>33</v>
      </c>
      <c r="B171">
        <v>38</v>
      </c>
      <c r="C171">
        <v>415</v>
      </c>
      <c r="D171" t="s">
        <v>21</v>
      </c>
      <c r="E171" t="s">
        <v>21</v>
      </c>
      <c r="F171">
        <v>0</v>
      </c>
      <c r="G171">
        <v>137.80000000000001</v>
      </c>
      <c r="H171">
        <v>86</v>
      </c>
      <c r="I171">
        <v>23.43</v>
      </c>
      <c r="J171">
        <v>286.3</v>
      </c>
      <c r="K171">
        <v>76</v>
      </c>
      <c r="L171">
        <v>24.34</v>
      </c>
      <c r="M171">
        <v>167</v>
      </c>
      <c r="N171">
        <v>77</v>
      </c>
      <c r="O171">
        <v>7.52</v>
      </c>
      <c r="P171">
        <v>14.1</v>
      </c>
      <c r="Q171">
        <v>3</v>
      </c>
      <c r="R171">
        <v>3.81</v>
      </c>
      <c r="S171">
        <v>2</v>
      </c>
      <c r="T171" t="b">
        <v>0</v>
      </c>
      <c r="U171" t="str">
        <f t="shared" si="10"/>
        <v>Normal Usage</v>
      </c>
      <c r="V171" t="str">
        <f t="shared" si="11"/>
        <v>Normal</v>
      </c>
      <c r="W171" t="str">
        <f t="shared" si="12"/>
        <v>Stable</v>
      </c>
      <c r="X171" t="str">
        <f t="shared" si="13"/>
        <v>Low</v>
      </c>
      <c r="Y171">
        <f t="shared" si="14"/>
        <v>38</v>
      </c>
    </row>
    <row r="172" spans="1:25">
      <c r="A172" t="s">
        <v>30</v>
      </c>
      <c r="B172">
        <v>68</v>
      </c>
      <c r="C172">
        <v>408</v>
      </c>
      <c r="D172" t="s">
        <v>27</v>
      </c>
      <c r="E172" t="s">
        <v>21</v>
      </c>
      <c r="F172">
        <v>0</v>
      </c>
      <c r="G172">
        <v>148.5</v>
      </c>
      <c r="H172">
        <v>126</v>
      </c>
      <c r="I172">
        <v>25.25</v>
      </c>
      <c r="J172">
        <v>219.4</v>
      </c>
      <c r="K172">
        <v>125</v>
      </c>
      <c r="L172">
        <v>18.649999999999999</v>
      </c>
      <c r="M172">
        <v>198.5</v>
      </c>
      <c r="N172">
        <v>121</v>
      </c>
      <c r="O172">
        <v>8.93</v>
      </c>
      <c r="P172">
        <v>14.5</v>
      </c>
      <c r="Q172">
        <v>7</v>
      </c>
      <c r="R172">
        <v>3.92</v>
      </c>
      <c r="S172">
        <v>1</v>
      </c>
      <c r="T172" t="b">
        <v>1</v>
      </c>
      <c r="U172" t="str">
        <f t="shared" si="10"/>
        <v>Normal Usage</v>
      </c>
      <c r="V172" t="str">
        <f t="shared" si="11"/>
        <v>Normal</v>
      </c>
      <c r="W172" t="str">
        <f t="shared" si="12"/>
        <v>Stable</v>
      </c>
      <c r="X172" t="str">
        <f t="shared" si="13"/>
        <v>Low</v>
      </c>
      <c r="Y172">
        <f t="shared" si="14"/>
        <v>68</v>
      </c>
    </row>
    <row r="173" spans="1:25">
      <c r="A173" t="s">
        <v>41</v>
      </c>
      <c r="B173">
        <v>123</v>
      </c>
      <c r="C173">
        <v>510</v>
      </c>
      <c r="D173" t="s">
        <v>21</v>
      </c>
      <c r="E173" t="s">
        <v>21</v>
      </c>
      <c r="F173">
        <v>0</v>
      </c>
      <c r="G173">
        <v>194</v>
      </c>
      <c r="H173">
        <v>118</v>
      </c>
      <c r="I173">
        <v>32.979999999999997</v>
      </c>
      <c r="J173">
        <v>242</v>
      </c>
      <c r="K173">
        <v>114</v>
      </c>
      <c r="L173">
        <v>20.57</v>
      </c>
      <c r="M173">
        <v>146.30000000000001</v>
      </c>
      <c r="N173">
        <v>108</v>
      </c>
      <c r="O173">
        <v>6.58</v>
      </c>
      <c r="P173">
        <v>12.1</v>
      </c>
      <c r="Q173">
        <v>4</v>
      </c>
      <c r="R173">
        <v>3.27</v>
      </c>
      <c r="S173">
        <v>1</v>
      </c>
      <c r="T173" t="b">
        <v>0</v>
      </c>
      <c r="U173" t="str">
        <f t="shared" si="10"/>
        <v>Normal Usage</v>
      </c>
      <c r="V173" t="str">
        <f t="shared" si="11"/>
        <v>Normal</v>
      </c>
      <c r="W173" t="str">
        <f t="shared" si="12"/>
        <v>Stable</v>
      </c>
      <c r="X173" t="str">
        <f t="shared" si="13"/>
        <v>Low</v>
      </c>
      <c r="Y173">
        <f t="shared" si="14"/>
        <v>123</v>
      </c>
    </row>
    <row r="174" spans="1:25">
      <c r="A174" t="s">
        <v>40</v>
      </c>
      <c r="B174">
        <v>75</v>
      </c>
      <c r="C174">
        <v>510</v>
      </c>
      <c r="D174" t="s">
        <v>21</v>
      </c>
      <c r="E174" t="s">
        <v>27</v>
      </c>
      <c r="F174">
        <v>41</v>
      </c>
      <c r="G174">
        <v>130.9</v>
      </c>
      <c r="H174">
        <v>115</v>
      </c>
      <c r="I174">
        <v>22.25</v>
      </c>
      <c r="J174">
        <v>203.4</v>
      </c>
      <c r="K174">
        <v>110</v>
      </c>
      <c r="L174">
        <v>17.29</v>
      </c>
      <c r="M174">
        <v>171.7</v>
      </c>
      <c r="N174">
        <v>68</v>
      </c>
      <c r="O174">
        <v>7.73</v>
      </c>
      <c r="P174">
        <v>12.4</v>
      </c>
      <c r="Q174">
        <v>4</v>
      </c>
      <c r="R174">
        <v>3.35</v>
      </c>
      <c r="S174">
        <v>1</v>
      </c>
      <c r="T174" t="b">
        <v>0</v>
      </c>
      <c r="U174" t="str">
        <f t="shared" si="10"/>
        <v>Normal Usage</v>
      </c>
      <c r="V174" t="str">
        <f t="shared" si="11"/>
        <v>Normal</v>
      </c>
      <c r="W174" t="str">
        <f t="shared" si="12"/>
        <v>Stable</v>
      </c>
      <c r="X174" t="str">
        <f t="shared" si="13"/>
        <v>Low</v>
      </c>
      <c r="Y174">
        <f t="shared" si="14"/>
        <v>75</v>
      </c>
    </row>
    <row r="175" spans="1:25">
      <c r="A175" t="s">
        <v>46</v>
      </c>
      <c r="B175">
        <v>153</v>
      </c>
      <c r="C175">
        <v>408</v>
      </c>
      <c r="D175" t="s">
        <v>21</v>
      </c>
      <c r="E175" t="s">
        <v>21</v>
      </c>
      <c r="F175">
        <v>0</v>
      </c>
      <c r="G175">
        <v>185.3</v>
      </c>
      <c r="H175">
        <v>127</v>
      </c>
      <c r="I175">
        <v>31.5</v>
      </c>
      <c r="J175">
        <v>208</v>
      </c>
      <c r="K175">
        <v>73</v>
      </c>
      <c r="L175">
        <v>17.68</v>
      </c>
      <c r="M175">
        <v>206.1</v>
      </c>
      <c r="N175">
        <v>124</v>
      </c>
      <c r="O175">
        <v>9.27</v>
      </c>
      <c r="P175">
        <v>15.1</v>
      </c>
      <c r="Q175">
        <v>3</v>
      </c>
      <c r="R175">
        <v>4.08</v>
      </c>
      <c r="S175">
        <v>1</v>
      </c>
      <c r="T175" t="b">
        <v>0</v>
      </c>
      <c r="U175" t="str">
        <f t="shared" si="10"/>
        <v>Normal Usage</v>
      </c>
      <c r="V175" t="str">
        <f t="shared" si="11"/>
        <v>Normal</v>
      </c>
      <c r="W175" t="str">
        <f t="shared" si="12"/>
        <v>Stable</v>
      </c>
      <c r="X175" t="str">
        <f t="shared" si="13"/>
        <v>Low</v>
      </c>
      <c r="Y175">
        <f t="shared" si="14"/>
        <v>153</v>
      </c>
    </row>
    <row r="176" spans="1:25">
      <c r="A176" t="s">
        <v>51</v>
      </c>
      <c r="B176">
        <v>143</v>
      </c>
      <c r="C176">
        <v>415</v>
      </c>
      <c r="D176" t="s">
        <v>21</v>
      </c>
      <c r="E176" t="s">
        <v>21</v>
      </c>
      <c r="F176">
        <v>0</v>
      </c>
      <c r="G176">
        <v>119.1</v>
      </c>
      <c r="H176">
        <v>117</v>
      </c>
      <c r="I176">
        <v>20.25</v>
      </c>
      <c r="J176">
        <v>287.7</v>
      </c>
      <c r="K176">
        <v>136</v>
      </c>
      <c r="L176">
        <v>24.45</v>
      </c>
      <c r="M176">
        <v>223</v>
      </c>
      <c r="N176">
        <v>100</v>
      </c>
      <c r="O176">
        <v>10.039999999999999</v>
      </c>
      <c r="P176">
        <v>12.2</v>
      </c>
      <c r="Q176">
        <v>4</v>
      </c>
      <c r="R176">
        <v>3.29</v>
      </c>
      <c r="S176">
        <v>0</v>
      </c>
      <c r="T176" t="b">
        <v>0</v>
      </c>
      <c r="U176" t="str">
        <f t="shared" si="10"/>
        <v>Normal Usage</v>
      </c>
      <c r="V176" t="str">
        <f t="shared" si="11"/>
        <v>Normal</v>
      </c>
      <c r="W176" t="str">
        <f t="shared" si="12"/>
        <v>Stable</v>
      </c>
      <c r="X176" t="str">
        <f t="shared" si="13"/>
        <v>Low</v>
      </c>
      <c r="Y176">
        <f t="shared" si="14"/>
        <v>143</v>
      </c>
    </row>
    <row r="177" spans="1:25">
      <c r="A177" t="s">
        <v>24</v>
      </c>
      <c r="B177">
        <v>87</v>
      </c>
      <c r="C177">
        <v>408</v>
      </c>
      <c r="D177" t="s">
        <v>21</v>
      </c>
      <c r="E177" t="s">
        <v>21</v>
      </c>
      <c r="F177">
        <v>0</v>
      </c>
      <c r="G177">
        <v>322.5</v>
      </c>
      <c r="H177">
        <v>106</v>
      </c>
      <c r="I177">
        <v>54.83</v>
      </c>
      <c r="J177">
        <v>204.6</v>
      </c>
      <c r="K177">
        <v>93</v>
      </c>
      <c r="L177">
        <v>17.39</v>
      </c>
      <c r="M177">
        <v>186.2</v>
      </c>
      <c r="N177">
        <v>128</v>
      </c>
      <c r="O177">
        <v>8.3800000000000008</v>
      </c>
      <c r="P177">
        <v>9.4</v>
      </c>
      <c r="Q177">
        <v>4</v>
      </c>
      <c r="R177">
        <v>2.54</v>
      </c>
      <c r="S177">
        <v>2</v>
      </c>
      <c r="T177" t="b">
        <v>1</v>
      </c>
      <c r="U177" t="str">
        <f t="shared" si="10"/>
        <v>High Usage</v>
      </c>
      <c r="V177" t="str">
        <f t="shared" si="11"/>
        <v>Normal</v>
      </c>
      <c r="W177" t="str">
        <f t="shared" si="12"/>
        <v>Potential Churn</v>
      </c>
      <c r="X177" t="str">
        <f t="shared" si="13"/>
        <v>Low</v>
      </c>
      <c r="Y177">
        <f t="shared" si="14"/>
        <v>87</v>
      </c>
    </row>
    <row r="178" spans="1:25">
      <c r="A178" t="s">
        <v>22</v>
      </c>
      <c r="B178">
        <v>100</v>
      </c>
      <c r="C178">
        <v>510</v>
      </c>
      <c r="D178" t="s">
        <v>21</v>
      </c>
      <c r="E178" t="s">
        <v>21</v>
      </c>
      <c r="F178">
        <v>0</v>
      </c>
      <c r="G178">
        <v>216.2</v>
      </c>
      <c r="H178">
        <v>107</v>
      </c>
      <c r="I178">
        <v>36.75</v>
      </c>
      <c r="J178">
        <v>215.6</v>
      </c>
      <c r="K178">
        <v>84</v>
      </c>
      <c r="L178">
        <v>18.329999999999998</v>
      </c>
      <c r="M178">
        <v>138.4</v>
      </c>
      <c r="N178">
        <v>127</v>
      </c>
      <c r="O178">
        <v>6.23</v>
      </c>
      <c r="P178">
        <v>10.199999999999999</v>
      </c>
      <c r="Q178">
        <v>3</v>
      </c>
      <c r="R178">
        <v>2.75</v>
      </c>
      <c r="S178">
        <v>0</v>
      </c>
      <c r="T178" t="b">
        <v>0</v>
      </c>
      <c r="U178" t="str">
        <f t="shared" si="10"/>
        <v>High Usage</v>
      </c>
      <c r="V178" t="str">
        <f t="shared" si="11"/>
        <v>Normal</v>
      </c>
      <c r="W178" t="str">
        <f t="shared" si="12"/>
        <v>Stable</v>
      </c>
      <c r="X178" t="str">
        <f t="shared" si="13"/>
        <v>Low</v>
      </c>
      <c r="Y178">
        <f t="shared" si="14"/>
        <v>100</v>
      </c>
    </row>
    <row r="179" spans="1:25">
      <c r="A179" t="s">
        <v>51</v>
      </c>
      <c r="B179">
        <v>144</v>
      </c>
      <c r="C179">
        <v>415</v>
      </c>
      <c r="D179" t="s">
        <v>21</v>
      </c>
      <c r="E179" t="s">
        <v>27</v>
      </c>
      <c r="F179">
        <v>51</v>
      </c>
      <c r="G179">
        <v>283.89999999999998</v>
      </c>
      <c r="H179">
        <v>98</v>
      </c>
      <c r="I179">
        <v>48.26</v>
      </c>
      <c r="J179">
        <v>192</v>
      </c>
      <c r="K179">
        <v>109</v>
      </c>
      <c r="L179">
        <v>16.32</v>
      </c>
      <c r="M179">
        <v>196.3</v>
      </c>
      <c r="N179">
        <v>85</v>
      </c>
      <c r="O179">
        <v>8.83</v>
      </c>
      <c r="P179">
        <v>10</v>
      </c>
      <c r="Q179">
        <v>4</v>
      </c>
      <c r="R179">
        <v>2.7</v>
      </c>
      <c r="S179">
        <v>1</v>
      </c>
      <c r="T179" t="b">
        <v>0</v>
      </c>
      <c r="U179" t="str">
        <f t="shared" si="10"/>
        <v>High Usage</v>
      </c>
      <c r="V179" t="str">
        <f t="shared" si="11"/>
        <v>Normal</v>
      </c>
      <c r="W179" t="str">
        <f t="shared" si="12"/>
        <v>Potential Churn</v>
      </c>
      <c r="X179" t="str">
        <f t="shared" si="13"/>
        <v>Low</v>
      </c>
      <c r="Y179">
        <f t="shared" si="14"/>
        <v>144</v>
      </c>
    </row>
    <row r="180" spans="1:25">
      <c r="A180" t="s">
        <v>68</v>
      </c>
      <c r="B180">
        <v>70</v>
      </c>
      <c r="C180">
        <v>415</v>
      </c>
      <c r="D180" t="s">
        <v>21</v>
      </c>
      <c r="E180" t="s">
        <v>27</v>
      </c>
      <c r="F180">
        <v>31</v>
      </c>
      <c r="G180">
        <v>125.9</v>
      </c>
      <c r="H180">
        <v>101</v>
      </c>
      <c r="I180">
        <v>21.4</v>
      </c>
      <c r="J180">
        <v>196.4</v>
      </c>
      <c r="K180">
        <v>102</v>
      </c>
      <c r="L180">
        <v>16.690000000000001</v>
      </c>
      <c r="M180">
        <v>252.7</v>
      </c>
      <c r="N180">
        <v>75</v>
      </c>
      <c r="O180">
        <v>11.37</v>
      </c>
      <c r="P180">
        <v>10.3</v>
      </c>
      <c r="Q180">
        <v>4</v>
      </c>
      <c r="R180">
        <v>2.78</v>
      </c>
      <c r="S180">
        <v>1</v>
      </c>
      <c r="T180" t="b">
        <v>0</v>
      </c>
      <c r="U180" t="str">
        <f t="shared" si="10"/>
        <v>Normal Usage</v>
      </c>
      <c r="V180" t="str">
        <f t="shared" si="11"/>
        <v>Normal</v>
      </c>
      <c r="W180" t="str">
        <f t="shared" si="12"/>
        <v>Stable</v>
      </c>
      <c r="X180" t="str">
        <f t="shared" si="13"/>
        <v>Low</v>
      </c>
      <c r="Y180">
        <f t="shared" si="14"/>
        <v>70</v>
      </c>
    </row>
    <row r="181" spans="1:25">
      <c r="A181" t="s">
        <v>35</v>
      </c>
      <c r="B181">
        <v>136</v>
      </c>
      <c r="C181">
        <v>408</v>
      </c>
      <c r="D181" t="s">
        <v>27</v>
      </c>
      <c r="E181" t="s">
        <v>21</v>
      </c>
      <c r="F181">
        <v>0</v>
      </c>
      <c r="G181">
        <v>199.6</v>
      </c>
      <c r="H181">
        <v>89</v>
      </c>
      <c r="I181">
        <v>33.93</v>
      </c>
      <c r="J181">
        <v>211.4</v>
      </c>
      <c r="K181">
        <v>96</v>
      </c>
      <c r="L181">
        <v>17.97</v>
      </c>
      <c r="M181">
        <v>72.400000000000006</v>
      </c>
      <c r="N181">
        <v>84</v>
      </c>
      <c r="O181">
        <v>3.26</v>
      </c>
      <c r="P181">
        <v>11</v>
      </c>
      <c r="Q181">
        <v>4</v>
      </c>
      <c r="R181">
        <v>2.97</v>
      </c>
      <c r="S181">
        <v>3</v>
      </c>
      <c r="T181" t="b">
        <v>1</v>
      </c>
      <c r="U181" t="str">
        <f t="shared" si="10"/>
        <v>Normal Usage</v>
      </c>
      <c r="V181" t="str">
        <f t="shared" si="11"/>
        <v>Normal</v>
      </c>
      <c r="W181" t="str">
        <f t="shared" si="12"/>
        <v>Stable</v>
      </c>
      <c r="X181" t="str">
        <f t="shared" si="13"/>
        <v>Medium</v>
      </c>
      <c r="Y181">
        <f t="shared" si="14"/>
        <v>136</v>
      </c>
    </row>
    <row r="182" spans="1:25">
      <c r="A182" t="s">
        <v>43</v>
      </c>
      <c r="B182">
        <v>120</v>
      </c>
      <c r="C182">
        <v>415</v>
      </c>
      <c r="D182" t="s">
        <v>21</v>
      </c>
      <c r="E182" t="s">
        <v>27</v>
      </c>
      <c r="F182">
        <v>24</v>
      </c>
      <c r="G182">
        <v>212.7</v>
      </c>
      <c r="H182">
        <v>73</v>
      </c>
      <c r="I182">
        <v>36.159999999999997</v>
      </c>
      <c r="J182">
        <v>257.5</v>
      </c>
      <c r="K182">
        <v>103</v>
      </c>
      <c r="L182">
        <v>21.89</v>
      </c>
      <c r="M182">
        <v>227.8</v>
      </c>
      <c r="N182">
        <v>119</v>
      </c>
      <c r="O182">
        <v>10.25</v>
      </c>
      <c r="P182">
        <v>9.6999999999999993</v>
      </c>
      <c r="Q182">
        <v>13</v>
      </c>
      <c r="R182">
        <v>2.62</v>
      </c>
      <c r="S182">
        <v>2</v>
      </c>
      <c r="T182" t="b">
        <v>0</v>
      </c>
      <c r="U182" t="str">
        <f t="shared" si="10"/>
        <v>High Usage</v>
      </c>
      <c r="V182" t="str">
        <f t="shared" si="11"/>
        <v>Normal</v>
      </c>
      <c r="W182" t="str">
        <f t="shared" si="12"/>
        <v>Stable</v>
      </c>
      <c r="X182" t="str">
        <f t="shared" si="13"/>
        <v>Low</v>
      </c>
      <c r="Y182">
        <f t="shared" si="14"/>
        <v>120</v>
      </c>
    </row>
    <row r="183" spans="1:25">
      <c r="A183" t="s">
        <v>50</v>
      </c>
      <c r="B183">
        <v>104</v>
      </c>
      <c r="C183">
        <v>408</v>
      </c>
      <c r="D183" t="s">
        <v>21</v>
      </c>
      <c r="E183" t="s">
        <v>21</v>
      </c>
      <c r="F183">
        <v>0</v>
      </c>
      <c r="G183">
        <v>183.6</v>
      </c>
      <c r="H183">
        <v>133</v>
      </c>
      <c r="I183">
        <v>31.21</v>
      </c>
      <c r="J183">
        <v>120.7</v>
      </c>
      <c r="K183">
        <v>98</v>
      </c>
      <c r="L183">
        <v>10.26</v>
      </c>
      <c r="M183">
        <v>215.1</v>
      </c>
      <c r="N183">
        <v>112</v>
      </c>
      <c r="O183">
        <v>9.68</v>
      </c>
      <c r="P183">
        <v>12.7</v>
      </c>
      <c r="Q183">
        <v>2</v>
      </c>
      <c r="R183">
        <v>3.43</v>
      </c>
      <c r="S183">
        <v>1</v>
      </c>
      <c r="T183" t="b">
        <v>0</v>
      </c>
      <c r="U183" t="str">
        <f t="shared" si="10"/>
        <v>Normal Usage</v>
      </c>
      <c r="V183" t="str">
        <f t="shared" si="11"/>
        <v>Normal</v>
      </c>
      <c r="W183" t="str">
        <f t="shared" si="12"/>
        <v>Stable</v>
      </c>
      <c r="X183" t="str">
        <f t="shared" si="13"/>
        <v>Low</v>
      </c>
      <c r="Y183">
        <f t="shared" si="14"/>
        <v>104</v>
      </c>
    </row>
    <row r="184" spans="1:25">
      <c r="A184" t="s">
        <v>39</v>
      </c>
      <c r="B184">
        <v>75</v>
      </c>
      <c r="C184">
        <v>510</v>
      </c>
      <c r="D184" t="s">
        <v>21</v>
      </c>
      <c r="E184" t="s">
        <v>27</v>
      </c>
      <c r="F184">
        <v>38</v>
      </c>
      <c r="G184">
        <v>163.6</v>
      </c>
      <c r="H184">
        <v>132</v>
      </c>
      <c r="I184">
        <v>27.81</v>
      </c>
      <c r="J184">
        <v>146.69999999999999</v>
      </c>
      <c r="K184">
        <v>113</v>
      </c>
      <c r="L184">
        <v>12.47</v>
      </c>
      <c r="M184">
        <v>345.8</v>
      </c>
      <c r="N184">
        <v>115</v>
      </c>
      <c r="O184">
        <v>15.56</v>
      </c>
      <c r="P184">
        <v>13.1</v>
      </c>
      <c r="Q184">
        <v>3</v>
      </c>
      <c r="R184">
        <v>3.54</v>
      </c>
      <c r="S184">
        <v>3</v>
      </c>
      <c r="T184" t="b">
        <v>0</v>
      </c>
      <c r="U184" t="str">
        <f t="shared" si="10"/>
        <v>Normal Usage</v>
      </c>
      <c r="V184" t="str">
        <f t="shared" si="11"/>
        <v>Normal</v>
      </c>
      <c r="W184" t="str">
        <f t="shared" si="12"/>
        <v>Stable</v>
      </c>
      <c r="X184" t="str">
        <f t="shared" si="13"/>
        <v>Medium</v>
      </c>
      <c r="Y184">
        <f t="shared" si="14"/>
        <v>75</v>
      </c>
    </row>
    <row r="185" spans="1:25">
      <c r="A185" t="s">
        <v>41</v>
      </c>
      <c r="B185">
        <v>127</v>
      </c>
      <c r="C185">
        <v>510</v>
      </c>
      <c r="D185" t="s">
        <v>27</v>
      </c>
      <c r="E185" t="s">
        <v>21</v>
      </c>
      <c r="F185">
        <v>0</v>
      </c>
      <c r="G185">
        <v>180.9</v>
      </c>
      <c r="H185">
        <v>114</v>
      </c>
      <c r="I185">
        <v>30.75</v>
      </c>
      <c r="J185">
        <v>209.5</v>
      </c>
      <c r="K185">
        <v>118</v>
      </c>
      <c r="L185">
        <v>17.809999999999999</v>
      </c>
      <c r="M185">
        <v>249.9</v>
      </c>
      <c r="N185">
        <v>105</v>
      </c>
      <c r="O185">
        <v>11.25</v>
      </c>
      <c r="P185">
        <v>7.4</v>
      </c>
      <c r="Q185">
        <v>4</v>
      </c>
      <c r="R185">
        <v>2</v>
      </c>
      <c r="S185">
        <v>2</v>
      </c>
      <c r="T185" t="b">
        <v>0</v>
      </c>
      <c r="U185" t="str">
        <f t="shared" si="10"/>
        <v>Normal Usage</v>
      </c>
      <c r="V185" t="str">
        <f t="shared" si="11"/>
        <v>Normal</v>
      </c>
      <c r="W185" t="str">
        <f t="shared" si="12"/>
        <v>Stable</v>
      </c>
      <c r="X185" t="str">
        <f t="shared" si="13"/>
        <v>Low</v>
      </c>
      <c r="Y185">
        <f t="shared" si="14"/>
        <v>127</v>
      </c>
    </row>
    <row r="186" spans="1:25">
      <c r="A186" t="s">
        <v>29</v>
      </c>
      <c r="B186">
        <v>122</v>
      </c>
      <c r="C186">
        <v>510</v>
      </c>
      <c r="D186" t="s">
        <v>21</v>
      </c>
      <c r="E186" t="s">
        <v>27</v>
      </c>
      <c r="F186">
        <v>33</v>
      </c>
      <c r="G186">
        <v>270.8</v>
      </c>
      <c r="H186">
        <v>96</v>
      </c>
      <c r="I186">
        <v>46.04</v>
      </c>
      <c r="J186">
        <v>220.4</v>
      </c>
      <c r="K186">
        <v>110</v>
      </c>
      <c r="L186">
        <v>18.73</v>
      </c>
      <c r="M186">
        <v>169.9</v>
      </c>
      <c r="N186">
        <v>104</v>
      </c>
      <c r="O186">
        <v>7.65</v>
      </c>
      <c r="P186">
        <v>11.8</v>
      </c>
      <c r="Q186">
        <v>8</v>
      </c>
      <c r="R186">
        <v>3.19</v>
      </c>
      <c r="S186">
        <v>4</v>
      </c>
      <c r="T186" t="b">
        <v>0</v>
      </c>
      <c r="U186" t="str">
        <f t="shared" si="10"/>
        <v>High Usage</v>
      </c>
      <c r="V186" t="str">
        <f t="shared" si="11"/>
        <v>Normal</v>
      </c>
      <c r="W186" t="str">
        <f t="shared" si="12"/>
        <v>Potential Churn</v>
      </c>
      <c r="X186" t="str">
        <f t="shared" si="13"/>
        <v>Medium</v>
      </c>
      <c r="Y186">
        <f t="shared" si="14"/>
        <v>122</v>
      </c>
    </row>
    <row r="187" spans="1:25">
      <c r="A187" t="s">
        <v>33</v>
      </c>
      <c r="B187">
        <v>124</v>
      </c>
      <c r="C187">
        <v>415</v>
      </c>
      <c r="D187" t="s">
        <v>21</v>
      </c>
      <c r="E187" t="s">
        <v>21</v>
      </c>
      <c r="F187">
        <v>0</v>
      </c>
      <c r="G187">
        <v>178.4</v>
      </c>
      <c r="H187">
        <v>72</v>
      </c>
      <c r="I187">
        <v>30.33</v>
      </c>
      <c r="J187">
        <v>233.6</v>
      </c>
      <c r="K187">
        <v>134</v>
      </c>
      <c r="L187">
        <v>19.86</v>
      </c>
      <c r="M187">
        <v>179.4</v>
      </c>
      <c r="N187">
        <v>91</v>
      </c>
      <c r="O187">
        <v>8.07</v>
      </c>
      <c r="P187">
        <v>12</v>
      </c>
      <c r="Q187">
        <v>2</v>
      </c>
      <c r="R187">
        <v>3.24</v>
      </c>
      <c r="S187">
        <v>0</v>
      </c>
      <c r="T187" t="b">
        <v>0</v>
      </c>
      <c r="U187" t="str">
        <f t="shared" si="10"/>
        <v>Normal Usage</v>
      </c>
      <c r="V187" t="str">
        <f t="shared" si="11"/>
        <v>Normal</v>
      </c>
      <c r="W187" t="str">
        <f t="shared" si="12"/>
        <v>Stable</v>
      </c>
      <c r="X187" t="str">
        <f t="shared" si="13"/>
        <v>Low</v>
      </c>
      <c r="Y187">
        <f t="shared" si="14"/>
        <v>124</v>
      </c>
    </row>
    <row r="188" spans="1:25">
      <c r="A188" t="s">
        <v>43</v>
      </c>
      <c r="B188">
        <v>167</v>
      </c>
      <c r="C188">
        <v>415</v>
      </c>
      <c r="D188" t="s">
        <v>27</v>
      </c>
      <c r="E188" t="s">
        <v>21</v>
      </c>
      <c r="F188">
        <v>0</v>
      </c>
      <c r="G188">
        <v>244.8</v>
      </c>
      <c r="H188">
        <v>91</v>
      </c>
      <c r="I188">
        <v>41.62</v>
      </c>
      <c r="J188">
        <v>60.8</v>
      </c>
      <c r="K188">
        <v>105</v>
      </c>
      <c r="L188">
        <v>5.17</v>
      </c>
      <c r="M188">
        <v>176.7</v>
      </c>
      <c r="N188">
        <v>110</v>
      </c>
      <c r="O188">
        <v>7.95</v>
      </c>
      <c r="P188">
        <v>10.7</v>
      </c>
      <c r="Q188">
        <v>3</v>
      </c>
      <c r="R188">
        <v>2.89</v>
      </c>
      <c r="S188">
        <v>2</v>
      </c>
      <c r="T188" t="b">
        <v>0</v>
      </c>
      <c r="U188" t="str">
        <f t="shared" si="10"/>
        <v>High Usage</v>
      </c>
      <c r="V188" t="str">
        <f t="shared" si="11"/>
        <v>Normal</v>
      </c>
      <c r="W188" t="str">
        <f t="shared" si="12"/>
        <v>Stable</v>
      </c>
      <c r="X188" t="str">
        <f t="shared" si="13"/>
        <v>Low</v>
      </c>
      <c r="Y188">
        <f t="shared" si="14"/>
        <v>167</v>
      </c>
    </row>
    <row r="189" spans="1:25">
      <c r="A189" t="s">
        <v>30</v>
      </c>
      <c r="B189">
        <v>89</v>
      </c>
      <c r="C189">
        <v>415</v>
      </c>
      <c r="D189" t="s">
        <v>21</v>
      </c>
      <c r="E189" t="s">
        <v>27</v>
      </c>
      <c r="F189">
        <v>32</v>
      </c>
      <c r="G189">
        <v>209.9</v>
      </c>
      <c r="H189">
        <v>113</v>
      </c>
      <c r="I189">
        <v>35.68</v>
      </c>
      <c r="J189">
        <v>249.8</v>
      </c>
      <c r="K189">
        <v>104</v>
      </c>
      <c r="L189">
        <v>21.23</v>
      </c>
      <c r="M189">
        <v>224.2</v>
      </c>
      <c r="N189">
        <v>92</v>
      </c>
      <c r="O189">
        <v>10.09</v>
      </c>
      <c r="P189">
        <v>8.6999999999999993</v>
      </c>
      <c r="Q189">
        <v>7</v>
      </c>
      <c r="R189">
        <v>2.35</v>
      </c>
      <c r="S189">
        <v>1</v>
      </c>
      <c r="T189" t="b">
        <v>0</v>
      </c>
      <c r="U189" t="str">
        <f t="shared" si="10"/>
        <v>High Usage</v>
      </c>
      <c r="V189" t="str">
        <f t="shared" si="11"/>
        <v>Normal</v>
      </c>
      <c r="W189" t="str">
        <f t="shared" si="12"/>
        <v>Stable</v>
      </c>
      <c r="X189" t="str">
        <f t="shared" si="13"/>
        <v>Low</v>
      </c>
      <c r="Y189">
        <f t="shared" si="14"/>
        <v>89</v>
      </c>
    </row>
    <row r="190" spans="1:25">
      <c r="A190" t="s">
        <v>33</v>
      </c>
      <c r="B190">
        <v>73</v>
      </c>
      <c r="C190">
        <v>408</v>
      </c>
      <c r="D190" t="s">
        <v>21</v>
      </c>
      <c r="E190" t="s">
        <v>21</v>
      </c>
      <c r="F190">
        <v>0</v>
      </c>
      <c r="G190">
        <v>213</v>
      </c>
      <c r="H190">
        <v>95</v>
      </c>
      <c r="I190">
        <v>36.21</v>
      </c>
      <c r="J190">
        <v>188.8</v>
      </c>
      <c r="K190">
        <v>104</v>
      </c>
      <c r="L190">
        <v>16.05</v>
      </c>
      <c r="M190">
        <v>136.19999999999999</v>
      </c>
      <c r="N190">
        <v>89</v>
      </c>
      <c r="O190">
        <v>6.13</v>
      </c>
      <c r="P190">
        <v>13.5</v>
      </c>
      <c r="Q190">
        <v>3</v>
      </c>
      <c r="R190">
        <v>3.65</v>
      </c>
      <c r="S190">
        <v>0</v>
      </c>
      <c r="T190" t="b">
        <v>0</v>
      </c>
      <c r="U190" t="str">
        <f t="shared" si="10"/>
        <v>High Usage</v>
      </c>
      <c r="V190" t="str">
        <f t="shared" si="11"/>
        <v>Normal</v>
      </c>
      <c r="W190" t="str">
        <f t="shared" si="12"/>
        <v>Stable</v>
      </c>
      <c r="X190" t="str">
        <f t="shared" si="13"/>
        <v>Low</v>
      </c>
      <c r="Y190">
        <f t="shared" si="14"/>
        <v>73</v>
      </c>
    </row>
    <row r="191" spans="1:25">
      <c r="A191" t="s">
        <v>49</v>
      </c>
      <c r="B191">
        <v>1</v>
      </c>
      <c r="C191">
        <v>415</v>
      </c>
      <c r="D191" t="s">
        <v>21</v>
      </c>
      <c r="E191" t="s">
        <v>21</v>
      </c>
      <c r="F191">
        <v>0</v>
      </c>
      <c r="G191">
        <v>144.80000000000001</v>
      </c>
      <c r="H191">
        <v>107</v>
      </c>
      <c r="I191">
        <v>24.62</v>
      </c>
      <c r="J191">
        <v>112.5</v>
      </c>
      <c r="K191">
        <v>66</v>
      </c>
      <c r="L191">
        <v>9.56</v>
      </c>
      <c r="M191">
        <v>218.7</v>
      </c>
      <c r="N191">
        <v>79</v>
      </c>
      <c r="O191">
        <v>9.84</v>
      </c>
      <c r="P191">
        <v>13.8</v>
      </c>
      <c r="Q191">
        <v>3</v>
      </c>
      <c r="R191">
        <v>3.73</v>
      </c>
      <c r="S191">
        <v>1</v>
      </c>
      <c r="T191" t="b">
        <v>0</v>
      </c>
      <c r="U191" t="str">
        <f t="shared" si="10"/>
        <v>Normal Usage</v>
      </c>
      <c r="V191" t="str">
        <f t="shared" si="11"/>
        <v>Normal</v>
      </c>
      <c r="W191" t="str">
        <f t="shared" si="12"/>
        <v>Stable</v>
      </c>
      <c r="X191" t="str">
        <f t="shared" si="13"/>
        <v>Low</v>
      </c>
      <c r="Y191">
        <f t="shared" si="14"/>
        <v>1</v>
      </c>
    </row>
    <row r="192" spans="1:25">
      <c r="A192" t="s">
        <v>36</v>
      </c>
      <c r="B192">
        <v>60</v>
      </c>
      <c r="C192">
        <v>408</v>
      </c>
      <c r="D192" t="s">
        <v>21</v>
      </c>
      <c r="E192" t="s">
        <v>21</v>
      </c>
      <c r="F192">
        <v>0</v>
      </c>
      <c r="G192">
        <v>135.4</v>
      </c>
      <c r="H192">
        <v>134</v>
      </c>
      <c r="I192">
        <v>23.02</v>
      </c>
      <c r="J192">
        <v>205.9</v>
      </c>
      <c r="K192">
        <v>85</v>
      </c>
      <c r="L192">
        <v>17.5</v>
      </c>
      <c r="M192">
        <v>204</v>
      </c>
      <c r="N192">
        <v>103</v>
      </c>
      <c r="O192">
        <v>9.18</v>
      </c>
      <c r="P192">
        <v>7.9</v>
      </c>
      <c r="Q192">
        <v>4</v>
      </c>
      <c r="R192">
        <v>2.13</v>
      </c>
      <c r="S192">
        <v>1</v>
      </c>
      <c r="T192" t="b">
        <v>0</v>
      </c>
      <c r="U192" t="str">
        <f t="shared" si="10"/>
        <v>Normal Usage</v>
      </c>
      <c r="V192" t="str">
        <f t="shared" si="11"/>
        <v>Normal</v>
      </c>
      <c r="W192" t="str">
        <f t="shared" si="12"/>
        <v>Stable</v>
      </c>
      <c r="X192" t="str">
        <f t="shared" si="13"/>
        <v>Low</v>
      </c>
      <c r="Y192">
        <f t="shared" si="14"/>
        <v>60</v>
      </c>
    </row>
    <row r="193" spans="1:25">
      <c r="A193" t="s">
        <v>66</v>
      </c>
      <c r="B193">
        <v>77</v>
      </c>
      <c r="C193">
        <v>510</v>
      </c>
      <c r="D193" t="s">
        <v>21</v>
      </c>
      <c r="E193" t="s">
        <v>21</v>
      </c>
      <c r="F193">
        <v>0</v>
      </c>
      <c r="G193">
        <v>67.7</v>
      </c>
      <c r="H193">
        <v>68</v>
      </c>
      <c r="I193">
        <v>11.51</v>
      </c>
      <c r="J193">
        <v>195.7</v>
      </c>
      <c r="K193">
        <v>86</v>
      </c>
      <c r="L193">
        <v>16.63</v>
      </c>
      <c r="M193">
        <v>236.5</v>
      </c>
      <c r="N193">
        <v>137</v>
      </c>
      <c r="O193">
        <v>10.64</v>
      </c>
      <c r="P193">
        <v>12</v>
      </c>
      <c r="Q193">
        <v>2</v>
      </c>
      <c r="R193">
        <v>3.24</v>
      </c>
      <c r="S193">
        <v>1</v>
      </c>
      <c r="T193" t="b">
        <v>0</v>
      </c>
      <c r="U193" t="str">
        <f t="shared" si="10"/>
        <v>Normal Usage</v>
      </c>
      <c r="V193" t="str">
        <f t="shared" si="11"/>
        <v>Normal</v>
      </c>
      <c r="W193" t="str">
        <f t="shared" si="12"/>
        <v>Stable</v>
      </c>
      <c r="X193" t="str">
        <f t="shared" si="13"/>
        <v>Low</v>
      </c>
      <c r="Y193">
        <f t="shared" si="14"/>
        <v>77</v>
      </c>
    </row>
    <row r="194" spans="1:25">
      <c r="A194" t="s">
        <v>61</v>
      </c>
      <c r="B194">
        <v>76</v>
      </c>
      <c r="C194">
        <v>415</v>
      </c>
      <c r="D194" t="s">
        <v>21</v>
      </c>
      <c r="E194" t="s">
        <v>21</v>
      </c>
      <c r="F194">
        <v>0</v>
      </c>
      <c r="G194">
        <v>224.4</v>
      </c>
      <c r="H194">
        <v>121</v>
      </c>
      <c r="I194">
        <v>38.15</v>
      </c>
      <c r="J194">
        <v>147.9</v>
      </c>
      <c r="K194">
        <v>97</v>
      </c>
      <c r="L194">
        <v>12.57</v>
      </c>
      <c r="M194">
        <v>183.8</v>
      </c>
      <c r="N194">
        <v>74</v>
      </c>
      <c r="O194">
        <v>8.27</v>
      </c>
      <c r="P194">
        <v>6.7</v>
      </c>
      <c r="Q194">
        <v>2</v>
      </c>
      <c r="R194">
        <v>1.81</v>
      </c>
      <c r="S194">
        <v>2</v>
      </c>
      <c r="T194" t="b">
        <v>0</v>
      </c>
      <c r="U194" t="str">
        <f t="shared" si="10"/>
        <v>High Usage</v>
      </c>
      <c r="V194" t="str">
        <f t="shared" si="11"/>
        <v>Normal</v>
      </c>
      <c r="W194" t="str">
        <f t="shared" si="12"/>
        <v>Stable</v>
      </c>
      <c r="X194" t="str">
        <f t="shared" si="13"/>
        <v>Low</v>
      </c>
      <c r="Y194">
        <f t="shared" si="14"/>
        <v>76</v>
      </c>
    </row>
    <row r="195" spans="1:25">
      <c r="A195" t="s">
        <v>71</v>
      </c>
      <c r="B195">
        <v>63</v>
      </c>
      <c r="C195">
        <v>510</v>
      </c>
      <c r="D195" t="s">
        <v>21</v>
      </c>
      <c r="E195" t="s">
        <v>21</v>
      </c>
      <c r="F195">
        <v>0</v>
      </c>
      <c r="G195">
        <v>153.5</v>
      </c>
      <c r="H195">
        <v>81</v>
      </c>
      <c r="I195">
        <v>26.1</v>
      </c>
      <c r="J195">
        <v>287.3</v>
      </c>
      <c r="K195">
        <v>115</v>
      </c>
      <c r="L195">
        <v>24.42</v>
      </c>
      <c r="M195">
        <v>230.2</v>
      </c>
      <c r="N195">
        <v>85</v>
      </c>
      <c r="O195">
        <v>10.36</v>
      </c>
      <c r="P195">
        <v>6.5</v>
      </c>
      <c r="Q195">
        <v>5</v>
      </c>
      <c r="R195">
        <v>1.76</v>
      </c>
      <c r="S195">
        <v>2</v>
      </c>
      <c r="T195" t="b">
        <v>0</v>
      </c>
      <c r="U195" t="str">
        <f t="shared" ref="U195:U258" si="15">IF(G195&gt;200,"High Usage","Normal Usage")</f>
        <v>Normal Usage</v>
      </c>
      <c r="V195" t="str">
        <f t="shared" ref="V195:V258" si="16">IF(AND(S195&gt;3,D195="Yes"),"High Risk","Normal")</f>
        <v>Normal</v>
      </c>
      <c r="W195" t="str">
        <f t="shared" ref="W195:W258" si="17">IF(OR(S195&gt;3,G195&gt;250),"Potential Churn","Stable")</f>
        <v>Stable</v>
      </c>
      <c r="X195" t="str">
        <f t="shared" ref="X195:X258" si="18">IF(S195&gt;5,"Critical",IF(S195&gt;=3,"Medium","Low"))</f>
        <v>Low</v>
      </c>
      <c r="Y195">
        <f t="shared" ref="Y195:Y258" si="19">VLOOKUP(A195,A194:U861,2,FALSE)</f>
        <v>63</v>
      </c>
    </row>
    <row r="196" spans="1:25">
      <c r="A196" t="s">
        <v>32</v>
      </c>
      <c r="B196">
        <v>150</v>
      </c>
      <c r="C196">
        <v>415</v>
      </c>
      <c r="D196" t="s">
        <v>21</v>
      </c>
      <c r="E196" t="s">
        <v>27</v>
      </c>
      <c r="F196">
        <v>28</v>
      </c>
      <c r="G196">
        <v>174.4</v>
      </c>
      <c r="H196">
        <v>75</v>
      </c>
      <c r="I196">
        <v>29.65</v>
      </c>
      <c r="J196">
        <v>169.9</v>
      </c>
      <c r="K196">
        <v>80</v>
      </c>
      <c r="L196">
        <v>14.44</v>
      </c>
      <c r="M196">
        <v>201.6</v>
      </c>
      <c r="N196">
        <v>130</v>
      </c>
      <c r="O196">
        <v>9.07</v>
      </c>
      <c r="P196">
        <v>11</v>
      </c>
      <c r="Q196">
        <v>4</v>
      </c>
      <c r="R196">
        <v>2.97</v>
      </c>
      <c r="S196">
        <v>1</v>
      </c>
      <c r="T196" t="b">
        <v>0</v>
      </c>
      <c r="U196" t="str">
        <f t="shared" si="15"/>
        <v>Normal Usage</v>
      </c>
      <c r="V196" t="str">
        <f t="shared" si="16"/>
        <v>Normal</v>
      </c>
      <c r="W196" t="str">
        <f t="shared" si="17"/>
        <v>Stable</v>
      </c>
      <c r="X196" t="str">
        <f t="shared" si="18"/>
        <v>Low</v>
      </c>
      <c r="Y196">
        <f t="shared" si="19"/>
        <v>150</v>
      </c>
    </row>
    <row r="197" spans="1:25">
      <c r="A197" t="s">
        <v>33</v>
      </c>
      <c r="B197">
        <v>101</v>
      </c>
      <c r="C197">
        <v>415</v>
      </c>
      <c r="D197" t="s">
        <v>21</v>
      </c>
      <c r="E197" t="s">
        <v>21</v>
      </c>
      <c r="F197">
        <v>0</v>
      </c>
      <c r="G197">
        <v>153.80000000000001</v>
      </c>
      <c r="H197">
        <v>89</v>
      </c>
      <c r="I197">
        <v>26.15</v>
      </c>
      <c r="J197">
        <v>234</v>
      </c>
      <c r="K197">
        <v>89</v>
      </c>
      <c r="L197">
        <v>19.89</v>
      </c>
      <c r="M197">
        <v>196.3</v>
      </c>
      <c r="N197">
        <v>77</v>
      </c>
      <c r="O197">
        <v>8.83</v>
      </c>
      <c r="P197">
        <v>11.6</v>
      </c>
      <c r="Q197">
        <v>2</v>
      </c>
      <c r="R197">
        <v>3.13</v>
      </c>
      <c r="S197">
        <v>4</v>
      </c>
      <c r="T197" t="b">
        <v>0</v>
      </c>
      <c r="U197" t="str">
        <f t="shared" si="15"/>
        <v>Normal Usage</v>
      </c>
      <c r="V197" t="str">
        <f t="shared" si="16"/>
        <v>Normal</v>
      </c>
      <c r="W197" t="str">
        <f t="shared" si="17"/>
        <v>Potential Churn</v>
      </c>
      <c r="X197" t="str">
        <f t="shared" si="18"/>
        <v>Medium</v>
      </c>
      <c r="Y197">
        <f t="shared" si="19"/>
        <v>101</v>
      </c>
    </row>
    <row r="198" spans="1:25">
      <c r="A198" t="s">
        <v>26</v>
      </c>
      <c r="B198">
        <v>132</v>
      </c>
      <c r="C198">
        <v>415</v>
      </c>
      <c r="D198" t="s">
        <v>21</v>
      </c>
      <c r="E198" t="s">
        <v>27</v>
      </c>
      <c r="F198">
        <v>39</v>
      </c>
      <c r="G198">
        <v>175.7</v>
      </c>
      <c r="H198">
        <v>93</v>
      </c>
      <c r="I198">
        <v>29.87</v>
      </c>
      <c r="J198">
        <v>187.2</v>
      </c>
      <c r="K198">
        <v>94</v>
      </c>
      <c r="L198">
        <v>15.91</v>
      </c>
      <c r="M198">
        <v>225.5</v>
      </c>
      <c r="N198">
        <v>118</v>
      </c>
      <c r="O198">
        <v>10.15</v>
      </c>
      <c r="P198">
        <v>8.6</v>
      </c>
      <c r="Q198">
        <v>3</v>
      </c>
      <c r="R198">
        <v>2.3199999999999998</v>
      </c>
      <c r="S198">
        <v>2</v>
      </c>
      <c r="T198" t="b">
        <v>0</v>
      </c>
      <c r="U198" t="str">
        <f t="shared" si="15"/>
        <v>Normal Usage</v>
      </c>
      <c r="V198" t="str">
        <f t="shared" si="16"/>
        <v>Normal</v>
      </c>
      <c r="W198" t="str">
        <f t="shared" si="17"/>
        <v>Stable</v>
      </c>
      <c r="X198" t="str">
        <f t="shared" si="18"/>
        <v>Low</v>
      </c>
      <c r="Y198">
        <f t="shared" si="19"/>
        <v>132</v>
      </c>
    </row>
    <row r="199" spans="1:25">
      <c r="A199" t="s">
        <v>39</v>
      </c>
      <c r="B199">
        <v>158</v>
      </c>
      <c r="C199">
        <v>510</v>
      </c>
      <c r="D199" t="s">
        <v>21</v>
      </c>
      <c r="E199" t="s">
        <v>21</v>
      </c>
      <c r="F199">
        <v>0</v>
      </c>
      <c r="G199">
        <v>155.9</v>
      </c>
      <c r="H199">
        <v>123</v>
      </c>
      <c r="I199">
        <v>26.5</v>
      </c>
      <c r="J199">
        <v>224.2</v>
      </c>
      <c r="K199">
        <v>112</v>
      </c>
      <c r="L199">
        <v>19.059999999999999</v>
      </c>
      <c r="M199">
        <v>221</v>
      </c>
      <c r="N199">
        <v>116</v>
      </c>
      <c r="O199">
        <v>9.9499999999999993</v>
      </c>
      <c r="P199">
        <v>8.6</v>
      </c>
      <c r="Q199">
        <v>8</v>
      </c>
      <c r="R199">
        <v>2.3199999999999998</v>
      </c>
      <c r="S199">
        <v>2</v>
      </c>
      <c r="T199" t="b">
        <v>0</v>
      </c>
      <c r="U199" t="str">
        <f t="shared" si="15"/>
        <v>Normal Usage</v>
      </c>
      <c r="V199" t="str">
        <f t="shared" si="16"/>
        <v>Normal</v>
      </c>
      <c r="W199" t="str">
        <f t="shared" si="17"/>
        <v>Stable</v>
      </c>
      <c r="X199" t="str">
        <f t="shared" si="18"/>
        <v>Low</v>
      </c>
      <c r="Y199">
        <f t="shared" si="19"/>
        <v>158</v>
      </c>
    </row>
    <row r="200" spans="1:25">
      <c r="A200" t="s">
        <v>49</v>
      </c>
      <c r="B200">
        <v>114</v>
      </c>
      <c r="C200">
        <v>415</v>
      </c>
      <c r="D200" t="s">
        <v>21</v>
      </c>
      <c r="E200" t="s">
        <v>27</v>
      </c>
      <c r="F200">
        <v>34</v>
      </c>
      <c r="G200">
        <v>154.4</v>
      </c>
      <c r="H200">
        <v>109</v>
      </c>
      <c r="I200">
        <v>26.25</v>
      </c>
      <c r="J200">
        <v>221.4</v>
      </c>
      <c r="K200">
        <v>142</v>
      </c>
      <c r="L200">
        <v>18.82</v>
      </c>
      <c r="M200">
        <v>208.5</v>
      </c>
      <c r="N200">
        <v>103</v>
      </c>
      <c r="O200">
        <v>9.3800000000000008</v>
      </c>
      <c r="P200">
        <v>10.3</v>
      </c>
      <c r="Q200">
        <v>5</v>
      </c>
      <c r="R200">
        <v>2.78</v>
      </c>
      <c r="S200">
        <v>0</v>
      </c>
      <c r="T200" t="b">
        <v>0</v>
      </c>
      <c r="U200" t="str">
        <f t="shared" si="15"/>
        <v>Normal Usage</v>
      </c>
      <c r="V200" t="str">
        <f t="shared" si="16"/>
        <v>Normal</v>
      </c>
      <c r="W200" t="str">
        <f t="shared" si="17"/>
        <v>Stable</v>
      </c>
      <c r="X200" t="str">
        <f t="shared" si="18"/>
        <v>Low</v>
      </c>
      <c r="Y200">
        <f t="shared" si="19"/>
        <v>114</v>
      </c>
    </row>
    <row r="201" spans="1:25">
      <c r="A201" t="s">
        <v>69</v>
      </c>
      <c r="B201">
        <v>77</v>
      </c>
      <c r="C201">
        <v>415</v>
      </c>
      <c r="D201" t="s">
        <v>21</v>
      </c>
      <c r="E201" t="s">
        <v>27</v>
      </c>
      <c r="F201">
        <v>23</v>
      </c>
      <c r="G201">
        <v>209.7</v>
      </c>
      <c r="H201">
        <v>73</v>
      </c>
      <c r="I201">
        <v>35.65</v>
      </c>
      <c r="J201">
        <v>183.6</v>
      </c>
      <c r="K201">
        <v>63</v>
      </c>
      <c r="L201">
        <v>15.61</v>
      </c>
      <c r="M201">
        <v>205.5</v>
      </c>
      <c r="N201">
        <v>111</v>
      </c>
      <c r="O201">
        <v>9.25</v>
      </c>
      <c r="P201">
        <v>7.1</v>
      </c>
      <c r="Q201">
        <v>3</v>
      </c>
      <c r="R201">
        <v>1.92</v>
      </c>
      <c r="S201">
        <v>2</v>
      </c>
      <c r="T201" t="b">
        <v>0</v>
      </c>
      <c r="U201" t="str">
        <f t="shared" si="15"/>
        <v>High Usage</v>
      </c>
      <c r="V201" t="str">
        <f t="shared" si="16"/>
        <v>Normal</v>
      </c>
      <c r="W201" t="str">
        <f t="shared" si="17"/>
        <v>Stable</v>
      </c>
      <c r="X201" t="str">
        <f t="shared" si="18"/>
        <v>Low</v>
      </c>
      <c r="Y201">
        <f t="shared" si="19"/>
        <v>77</v>
      </c>
    </row>
    <row r="202" spans="1:25">
      <c r="A202" t="s">
        <v>64</v>
      </c>
      <c r="B202">
        <v>107</v>
      </c>
      <c r="C202">
        <v>415</v>
      </c>
      <c r="D202" t="s">
        <v>21</v>
      </c>
      <c r="E202" t="s">
        <v>21</v>
      </c>
      <c r="F202">
        <v>0</v>
      </c>
      <c r="G202">
        <v>212.1</v>
      </c>
      <c r="H202">
        <v>95</v>
      </c>
      <c r="I202">
        <v>36.06</v>
      </c>
      <c r="J202">
        <v>150.1</v>
      </c>
      <c r="K202">
        <v>88</v>
      </c>
      <c r="L202">
        <v>12.76</v>
      </c>
      <c r="M202">
        <v>219.8</v>
      </c>
      <c r="N202">
        <v>111</v>
      </c>
      <c r="O202">
        <v>9.89</v>
      </c>
      <c r="P202">
        <v>7.7</v>
      </c>
      <c r="Q202">
        <v>2</v>
      </c>
      <c r="R202">
        <v>2.08</v>
      </c>
      <c r="S202">
        <v>3</v>
      </c>
      <c r="T202" t="b">
        <v>0</v>
      </c>
      <c r="U202" t="str">
        <f t="shared" si="15"/>
        <v>High Usage</v>
      </c>
      <c r="V202" t="str">
        <f t="shared" si="16"/>
        <v>Normal</v>
      </c>
      <c r="W202" t="str">
        <f t="shared" si="17"/>
        <v>Stable</v>
      </c>
      <c r="X202" t="str">
        <f t="shared" si="18"/>
        <v>Medium</v>
      </c>
      <c r="Y202">
        <f t="shared" si="19"/>
        <v>107</v>
      </c>
    </row>
    <row r="203" spans="1:25">
      <c r="A203" t="s">
        <v>64</v>
      </c>
      <c r="B203">
        <v>48</v>
      </c>
      <c r="C203">
        <v>510</v>
      </c>
      <c r="D203" t="s">
        <v>21</v>
      </c>
      <c r="E203" t="s">
        <v>27</v>
      </c>
      <c r="F203">
        <v>22</v>
      </c>
      <c r="G203">
        <v>152</v>
      </c>
      <c r="H203">
        <v>63</v>
      </c>
      <c r="I203">
        <v>25.84</v>
      </c>
      <c r="J203">
        <v>258.8</v>
      </c>
      <c r="K203">
        <v>131</v>
      </c>
      <c r="L203">
        <v>22</v>
      </c>
      <c r="M203">
        <v>263.2</v>
      </c>
      <c r="N203">
        <v>109</v>
      </c>
      <c r="O203">
        <v>11.84</v>
      </c>
      <c r="P203">
        <v>15.7</v>
      </c>
      <c r="Q203">
        <v>5</v>
      </c>
      <c r="R203">
        <v>4.24</v>
      </c>
      <c r="S203">
        <v>2</v>
      </c>
      <c r="T203" t="b">
        <v>1</v>
      </c>
      <c r="U203" t="str">
        <f t="shared" si="15"/>
        <v>Normal Usage</v>
      </c>
      <c r="V203" t="str">
        <f t="shared" si="16"/>
        <v>Normal</v>
      </c>
      <c r="W203" t="str">
        <f t="shared" si="17"/>
        <v>Stable</v>
      </c>
      <c r="X203" t="str">
        <f t="shared" si="18"/>
        <v>Low</v>
      </c>
      <c r="Y203">
        <f t="shared" si="19"/>
        <v>107</v>
      </c>
    </row>
    <row r="204" spans="1:25">
      <c r="A204" t="s">
        <v>70</v>
      </c>
      <c r="B204">
        <v>59</v>
      </c>
      <c r="C204">
        <v>415</v>
      </c>
      <c r="D204" t="s">
        <v>21</v>
      </c>
      <c r="E204" t="s">
        <v>21</v>
      </c>
      <c r="F204">
        <v>0</v>
      </c>
      <c r="G204">
        <v>160.9</v>
      </c>
      <c r="H204">
        <v>95</v>
      </c>
      <c r="I204">
        <v>27.35</v>
      </c>
      <c r="J204">
        <v>251.2</v>
      </c>
      <c r="K204">
        <v>65</v>
      </c>
      <c r="L204">
        <v>21.35</v>
      </c>
      <c r="M204">
        <v>273.39999999999998</v>
      </c>
      <c r="N204">
        <v>97</v>
      </c>
      <c r="O204">
        <v>12.3</v>
      </c>
      <c r="P204">
        <v>5</v>
      </c>
      <c r="Q204">
        <v>5</v>
      </c>
      <c r="R204">
        <v>1.35</v>
      </c>
      <c r="S204">
        <v>3</v>
      </c>
      <c r="T204" t="b">
        <v>0</v>
      </c>
      <c r="U204" t="str">
        <f t="shared" si="15"/>
        <v>Normal Usage</v>
      </c>
      <c r="V204" t="str">
        <f t="shared" si="16"/>
        <v>Normal</v>
      </c>
      <c r="W204" t="str">
        <f t="shared" si="17"/>
        <v>Stable</v>
      </c>
      <c r="X204" t="str">
        <f t="shared" si="18"/>
        <v>Medium</v>
      </c>
      <c r="Y204">
        <f t="shared" si="19"/>
        <v>59</v>
      </c>
    </row>
    <row r="205" spans="1:25">
      <c r="A205" t="s">
        <v>58</v>
      </c>
      <c r="B205">
        <v>129</v>
      </c>
      <c r="C205">
        <v>510</v>
      </c>
      <c r="D205" t="s">
        <v>21</v>
      </c>
      <c r="E205" t="s">
        <v>21</v>
      </c>
      <c r="F205">
        <v>0</v>
      </c>
      <c r="G205">
        <v>334.3</v>
      </c>
      <c r="H205">
        <v>118</v>
      </c>
      <c r="I205">
        <v>56.83</v>
      </c>
      <c r="J205">
        <v>192.1</v>
      </c>
      <c r="K205">
        <v>104</v>
      </c>
      <c r="L205">
        <v>16.329999999999998</v>
      </c>
      <c r="M205">
        <v>191</v>
      </c>
      <c r="N205">
        <v>83</v>
      </c>
      <c r="O205">
        <v>8.59</v>
      </c>
      <c r="P205">
        <v>10.4</v>
      </c>
      <c r="Q205">
        <v>6</v>
      </c>
      <c r="R205">
        <v>2.81</v>
      </c>
      <c r="S205">
        <v>0</v>
      </c>
      <c r="T205" t="b">
        <v>1</v>
      </c>
      <c r="U205" t="str">
        <f t="shared" si="15"/>
        <v>High Usage</v>
      </c>
      <c r="V205" t="str">
        <f t="shared" si="16"/>
        <v>Normal</v>
      </c>
      <c r="W205" t="str">
        <f t="shared" si="17"/>
        <v>Potential Churn</v>
      </c>
      <c r="X205" t="str">
        <f t="shared" si="18"/>
        <v>Low</v>
      </c>
      <c r="Y205">
        <f t="shared" si="19"/>
        <v>129</v>
      </c>
    </row>
    <row r="206" spans="1:25">
      <c r="A206" t="s">
        <v>48</v>
      </c>
      <c r="B206">
        <v>50</v>
      </c>
      <c r="C206">
        <v>510</v>
      </c>
      <c r="D206" t="s">
        <v>21</v>
      </c>
      <c r="E206" t="s">
        <v>21</v>
      </c>
      <c r="F206">
        <v>0</v>
      </c>
      <c r="G206">
        <v>188.9</v>
      </c>
      <c r="H206">
        <v>94</v>
      </c>
      <c r="I206">
        <v>32.11</v>
      </c>
      <c r="J206">
        <v>203.9</v>
      </c>
      <c r="K206">
        <v>104</v>
      </c>
      <c r="L206">
        <v>17.329999999999998</v>
      </c>
      <c r="M206">
        <v>151.80000000000001</v>
      </c>
      <c r="N206">
        <v>124</v>
      </c>
      <c r="O206">
        <v>6.83</v>
      </c>
      <c r="P206">
        <v>11.6</v>
      </c>
      <c r="Q206">
        <v>8</v>
      </c>
      <c r="R206">
        <v>3.13</v>
      </c>
      <c r="S206">
        <v>3</v>
      </c>
      <c r="T206" t="b">
        <v>0</v>
      </c>
      <c r="U206" t="str">
        <f t="shared" si="15"/>
        <v>Normal Usage</v>
      </c>
      <c r="V206" t="str">
        <f t="shared" si="16"/>
        <v>Normal</v>
      </c>
      <c r="W206" t="str">
        <f t="shared" si="17"/>
        <v>Stable</v>
      </c>
      <c r="X206" t="str">
        <f t="shared" si="18"/>
        <v>Medium</v>
      </c>
      <c r="Y206">
        <f t="shared" si="19"/>
        <v>50</v>
      </c>
    </row>
    <row r="207" spans="1:25">
      <c r="A207" t="s">
        <v>28</v>
      </c>
      <c r="B207">
        <v>50</v>
      </c>
      <c r="C207">
        <v>415</v>
      </c>
      <c r="D207" t="s">
        <v>21</v>
      </c>
      <c r="E207" t="s">
        <v>27</v>
      </c>
      <c r="F207">
        <v>35</v>
      </c>
      <c r="G207">
        <v>192.6</v>
      </c>
      <c r="H207">
        <v>97</v>
      </c>
      <c r="I207">
        <v>32.74</v>
      </c>
      <c r="J207">
        <v>135.19999999999999</v>
      </c>
      <c r="K207">
        <v>101</v>
      </c>
      <c r="L207">
        <v>11.49</v>
      </c>
      <c r="M207">
        <v>216.2</v>
      </c>
      <c r="N207">
        <v>101</v>
      </c>
      <c r="O207">
        <v>9.73</v>
      </c>
      <c r="P207">
        <v>7.9</v>
      </c>
      <c r="Q207">
        <v>2</v>
      </c>
      <c r="R207">
        <v>2.13</v>
      </c>
      <c r="S207">
        <v>2</v>
      </c>
      <c r="T207" t="b">
        <v>0</v>
      </c>
      <c r="U207" t="str">
        <f t="shared" si="15"/>
        <v>Normal Usage</v>
      </c>
      <c r="V207" t="str">
        <f t="shared" si="16"/>
        <v>Normal</v>
      </c>
      <c r="W207" t="str">
        <f t="shared" si="17"/>
        <v>Stable</v>
      </c>
      <c r="X207" t="str">
        <f t="shared" si="18"/>
        <v>Low</v>
      </c>
      <c r="Y207">
        <f t="shared" si="19"/>
        <v>50</v>
      </c>
    </row>
    <row r="208" spans="1:25">
      <c r="A208" t="s">
        <v>49</v>
      </c>
      <c r="B208">
        <v>116</v>
      </c>
      <c r="C208">
        <v>415</v>
      </c>
      <c r="D208" t="s">
        <v>21</v>
      </c>
      <c r="E208" t="s">
        <v>21</v>
      </c>
      <c r="F208">
        <v>0</v>
      </c>
      <c r="G208">
        <v>217.3</v>
      </c>
      <c r="H208">
        <v>91</v>
      </c>
      <c r="I208">
        <v>36.94</v>
      </c>
      <c r="J208">
        <v>216.1</v>
      </c>
      <c r="K208">
        <v>95</v>
      </c>
      <c r="L208">
        <v>18.37</v>
      </c>
      <c r="M208">
        <v>148.1</v>
      </c>
      <c r="N208">
        <v>76</v>
      </c>
      <c r="O208">
        <v>6.66</v>
      </c>
      <c r="P208">
        <v>11.3</v>
      </c>
      <c r="Q208">
        <v>3</v>
      </c>
      <c r="R208">
        <v>3.05</v>
      </c>
      <c r="S208">
        <v>2</v>
      </c>
      <c r="T208" t="b">
        <v>0</v>
      </c>
      <c r="U208" t="str">
        <f t="shared" si="15"/>
        <v>High Usage</v>
      </c>
      <c r="V208" t="str">
        <f t="shared" si="16"/>
        <v>Normal</v>
      </c>
      <c r="W208" t="str">
        <f t="shared" si="17"/>
        <v>Stable</v>
      </c>
      <c r="X208" t="str">
        <f t="shared" si="18"/>
        <v>Low</v>
      </c>
      <c r="Y208">
        <f t="shared" si="19"/>
        <v>116</v>
      </c>
    </row>
    <row r="209" spans="1:25">
      <c r="A209" t="s">
        <v>55</v>
      </c>
      <c r="B209">
        <v>52</v>
      </c>
      <c r="C209">
        <v>510</v>
      </c>
      <c r="D209" t="s">
        <v>21</v>
      </c>
      <c r="E209" t="s">
        <v>27</v>
      </c>
      <c r="F209">
        <v>38</v>
      </c>
      <c r="G209">
        <v>169.3</v>
      </c>
      <c r="H209">
        <v>88</v>
      </c>
      <c r="I209">
        <v>28.78</v>
      </c>
      <c r="J209">
        <v>225.9</v>
      </c>
      <c r="K209">
        <v>97</v>
      </c>
      <c r="L209">
        <v>19.2</v>
      </c>
      <c r="M209">
        <v>172</v>
      </c>
      <c r="N209">
        <v>86</v>
      </c>
      <c r="O209">
        <v>7.74</v>
      </c>
      <c r="P209">
        <v>8.1999999999999993</v>
      </c>
      <c r="Q209">
        <v>3</v>
      </c>
      <c r="R209">
        <v>2.21</v>
      </c>
      <c r="S209">
        <v>0</v>
      </c>
      <c r="T209" t="b">
        <v>0</v>
      </c>
      <c r="U209" t="str">
        <f t="shared" si="15"/>
        <v>Normal Usage</v>
      </c>
      <c r="V209" t="str">
        <f t="shared" si="16"/>
        <v>Normal</v>
      </c>
      <c r="W209" t="str">
        <f t="shared" si="17"/>
        <v>Stable</v>
      </c>
      <c r="X209" t="str">
        <f t="shared" si="18"/>
        <v>Low</v>
      </c>
      <c r="Y209">
        <f t="shared" si="19"/>
        <v>52</v>
      </c>
    </row>
    <row r="210" spans="1:25">
      <c r="A210" t="s">
        <v>68</v>
      </c>
      <c r="B210">
        <v>12</v>
      </c>
      <c r="C210">
        <v>510</v>
      </c>
      <c r="D210" t="s">
        <v>27</v>
      </c>
      <c r="E210" t="s">
        <v>21</v>
      </c>
      <c r="F210">
        <v>0</v>
      </c>
      <c r="G210">
        <v>216.7</v>
      </c>
      <c r="H210">
        <v>117</v>
      </c>
      <c r="I210">
        <v>36.840000000000003</v>
      </c>
      <c r="J210">
        <v>116.5</v>
      </c>
      <c r="K210">
        <v>126</v>
      </c>
      <c r="L210">
        <v>9.9</v>
      </c>
      <c r="M210">
        <v>220</v>
      </c>
      <c r="N210">
        <v>110</v>
      </c>
      <c r="O210">
        <v>9.9</v>
      </c>
      <c r="P210">
        <v>9.8000000000000007</v>
      </c>
      <c r="Q210">
        <v>4</v>
      </c>
      <c r="R210">
        <v>2.65</v>
      </c>
      <c r="S210">
        <v>2</v>
      </c>
      <c r="T210" t="b">
        <v>0</v>
      </c>
      <c r="U210" t="str">
        <f t="shared" si="15"/>
        <v>High Usage</v>
      </c>
      <c r="V210" t="str">
        <f t="shared" si="16"/>
        <v>Normal</v>
      </c>
      <c r="W210" t="str">
        <f t="shared" si="17"/>
        <v>Stable</v>
      </c>
      <c r="X210" t="str">
        <f t="shared" si="18"/>
        <v>Low</v>
      </c>
      <c r="Y210">
        <f t="shared" si="19"/>
        <v>12</v>
      </c>
    </row>
    <row r="211" spans="1:25">
      <c r="A211" t="s">
        <v>68</v>
      </c>
      <c r="B211">
        <v>105</v>
      </c>
      <c r="C211">
        <v>510</v>
      </c>
      <c r="D211" t="s">
        <v>21</v>
      </c>
      <c r="E211" t="s">
        <v>21</v>
      </c>
      <c r="F211">
        <v>0</v>
      </c>
      <c r="G211">
        <v>246.4</v>
      </c>
      <c r="H211">
        <v>83</v>
      </c>
      <c r="I211">
        <v>41.89</v>
      </c>
      <c r="J211">
        <v>256.2</v>
      </c>
      <c r="K211">
        <v>101</v>
      </c>
      <c r="L211">
        <v>21.78</v>
      </c>
      <c r="M211">
        <v>169</v>
      </c>
      <c r="N211">
        <v>151</v>
      </c>
      <c r="O211">
        <v>7.61</v>
      </c>
      <c r="P211">
        <v>3.8</v>
      </c>
      <c r="Q211">
        <v>4</v>
      </c>
      <c r="R211">
        <v>1.03</v>
      </c>
      <c r="S211">
        <v>0</v>
      </c>
      <c r="T211" t="b">
        <v>0</v>
      </c>
      <c r="U211" t="str">
        <f t="shared" si="15"/>
        <v>High Usage</v>
      </c>
      <c r="V211" t="str">
        <f t="shared" si="16"/>
        <v>Normal</v>
      </c>
      <c r="W211" t="str">
        <f t="shared" si="17"/>
        <v>Stable</v>
      </c>
      <c r="X211" t="str">
        <f t="shared" si="18"/>
        <v>Low</v>
      </c>
      <c r="Y211">
        <f t="shared" si="19"/>
        <v>12</v>
      </c>
    </row>
    <row r="212" spans="1:25">
      <c r="A212" t="s">
        <v>23</v>
      </c>
      <c r="B212">
        <v>104</v>
      </c>
      <c r="C212">
        <v>415</v>
      </c>
      <c r="D212" t="s">
        <v>21</v>
      </c>
      <c r="E212" t="s">
        <v>21</v>
      </c>
      <c r="F212">
        <v>0</v>
      </c>
      <c r="G212">
        <v>156.19999999999999</v>
      </c>
      <c r="H212">
        <v>93</v>
      </c>
      <c r="I212">
        <v>26.55</v>
      </c>
      <c r="J212">
        <v>193</v>
      </c>
      <c r="K212">
        <v>54</v>
      </c>
      <c r="L212">
        <v>16.41</v>
      </c>
      <c r="M212">
        <v>222.7</v>
      </c>
      <c r="N212">
        <v>94</v>
      </c>
      <c r="O212">
        <v>10.02</v>
      </c>
      <c r="P212">
        <v>13.1</v>
      </c>
      <c r="Q212">
        <v>5</v>
      </c>
      <c r="R212">
        <v>3.54</v>
      </c>
      <c r="S212">
        <v>1</v>
      </c>
      <c r="T212" t="b">
        <v>0</v>
      </c>
      <c r="U212" t="str">
        <f t="shared" si="15"/>
        <v>Normal Usage</v>
      </c>
      <c r="V212" t="str">
        <f t="shared" si="16"/>
        <v>Normal</v>
      </c>
      <c r="W212" t="str">
        <f t="shared" si="17"/>
        <v>Stable</v>
      </c>
      <c r="X212" t="str">
        <f t="shared" si="18"/>
        <v>Low</v>
      </c>
      <c r="Y212">
        <f t="shared" si="19"/>
        <v>104</v>
      </c>
    </row>
    <row r="213" spans="1:25">
      <c r="A213" t="s">
        <v>66</v>
      </c>
      <c r="B213">
        <v>13</v>
      </c>
      <c r="C213">
        <v>415</v>
      </c>
      <c r="D213" t="s">
        <v>21</v>
      </c>
      <c r="E213" t="s">
        <v>21</v>
      </c>
      <c r="F213">
        <v>0</v>
      </c>
      <c r="G213">
        <v>146.4</v>
      </c>
      <c r="H213">
        <v>74</v>
      </c>
      <c r="I213">
        <v>24.89</v>
      </c>
      <c r="J213">
        <v>148.5</v>
      </c>
      <c r="K213">
        <v>92</v>
      </c>
      <c r="L213">
        <v>12.62</v>
      </c>
      <c r="M213">
        <v>216.7</v>
      </c>
      <c r="N213">
        <v>96</v>
      </c>
      <c r="O213">
        <v>9.75</v>
      </c>
      <c r="P213">
        <v>11.3</v>
      </c>
      <c r="Q213">
        <v>3</v>
      </c>
      <c r="R213">
        <v>3.05</v>
      </c>
      <c r="S213">
        <v>1</v>
      </c>
      <c r="T213" t="b">
        <v>0</v>
      </c>
      <c r="U213" t="str">
        <f t="shared" si="15"/>
        <v>Normal Usage</v>
      </c>
      <c r="V213" t="str">
        <f t="shared" si="16"/>
        <v>Normal</v>
      </c>
      <c r="W213" t="str">
        <f t="shared" si="17"/>
        <v>Stable</v>
      </c>
      <c r="X213" t="str">
        <f t="shared" si="18"/>
        <v>Low</v>
      </c>
      <c r="Y213">
        <f t="shared" si="19"/>
        <v>13</v>
      </c>
    </row>
    <row r="214" spans="1:25">
      <c r="A214" t="s">
        <v>66</v>
      </c>
      <c r="B214">
        <v>67</v>
      </c>
      <c r="C214">
        <v>408</v>
      </c>
      <c r="D214" t="s">
        <v>21</v>
      </c>
      <c r="E214" t="s">
        <v>21</v>
      </c>
      <c r="F214">
        <v>0</v>
      </c>
      <c r="G214">
        <v>167.8</v>
      </c>
      <c r="H214">
        <v>91</v>
      </c>
      <c r="I214">
        <v>28.53</v>
      </c>
      <c r="J214">
        <v>167.7</v>
      </c>
      <c r="K214">
        <v>69</v>
      </c>
      <c r="L214">
        <v>14.25</v>
      </c>
      <c r="M214">
        <v>110.3</v>
      </c>
      <c r="N214">
        <v>71</v>
      </c>
      <c r="O214">
        <v>4.96</v>
      </c>
      <c r="P214">
        <v>8.4</v>
      </c>
      <c r="Q214">
        <v>12</v>
      </c>
      <c r="R214">
        <v>2.27</v>
      </c>
      <c r="S214">
        <v>1</v>
      </c>
      <c r="T214" t="b">
        <v>0</v>
      </c>
      <c r="U214" t="str">
        <f t="shared" si="15"/>
        <v>Normal Usage</v>
      </c>
      <c r="V214" t="str">
        <f t="shared" si="16"/>
        <v>Normal</v>
      </c>
      <c r="W214" t="str">
        <f t="shared" si="17"/>
        <v>Stable</v>
      </c>
      <c r="X214" t="str">
        <f t="shared" si="18"/>
        <v>Low</v>
      </c>
      <c r="Y214">
        <f t="shared" si="19"/>
        <v>13</v>
      </c>
    </row>
    <row r="215" spans="1:25">
      <c r="A215" t="s">
        <v>61</v>
      </c>
      <c r="B215">
        <v>148</v>
      </c>
      <c r="C215">
        <v>415</v>
      </c>
      <c r="D215" t="s">
        <v>21</v>
      </c>
      <c r="E215" t="s">
        <v>27</v>
      </c>
      <c r="F215">
        <v>11</v>
      </c>
      <c r="G215">
        <v>252.9</v>
      </c>
      <c r="H215">
        <v>129</v>
      </c>
      <c r="I215">
        <v>42.99</v>
      </c>
      <c r="J215">
        <v>284.3</v>
      </c>
      <c r="K215">
        <v>88</v>
      </c>
      <c r="L215">
        <v>24.17</v>
      </c>
      <c r="M215">
        <v>262.8</v>
      </c>
      <c r="N215">
        <v>99</v>
      </c>
      <c r="O215">
        <v>11.83</v>
      </c>
      <c r="P215">
        <v>12.3</v>
      </c>
      <c r="Q215">
        <v>1</v>
      </c>
      <c r="R215">
        <v>3.32</v>
      </c>
      <c r="S215">
        <v>1</v>
      </c>
      <c r="T215" t="b">
        <v>0</v>
      </c>
      <c r="U215" t="str">
        <f t="shared" si="15"/>
        <v>High Usage</v>
      </c>
      <c r="V215" t="str">
        <f t="shared" si="16"/>
        <v>Normal</v>
      </c>
      <c r="W215" t="str">
        <f t="shared" si="17"/>
        <v>Potential Churn</v>
      </c>
      <c r="X215" t="str">
        <f t="shared" si="18"/>
        <v>Low</v>
      </c>
      <c r="Y215">
        <f t="shared" si="19"/>
        <v>148</v>
      </c>
    </row>
    <row r="216" spans="1:25">
      <c r="A216" t="s">
        <v>32</v>
      </c>
      <c r="B216">
        <v>116</v>
      </c>
      <c r="C216">
        <v>510</v>
      </c>
      <c r="D216" t="s">
        <v>21</v>
      </c>
      <c r="E216" t="s">
        <v>21</v>
      </c>
      <c r="F216">
        <v>0</v>
      </c>
      <c r="G216">
        <v>201.8</v>
      </c>
      <c r="H216">
        <v>82</v>
      </c>
      <c r="I216">
        <v>34.31</v>
      </c>
      <c r="J216">
        <v>231.5</v>
      </c>
      <c r="K216">
        <v>95</v>
      </c>
      <c r="L216">
        <v>19.68</v>
      </c>
      <c r="M216">
        <v>226.1</v>
      </c>
      <c r="N216">
        <v>130</v>
      </c>
      <c r="O216">
        <v>10.17</v>
      </c>
      <c r="P216">
        <v>16.5</v>
      </c>
      <c r="Q216">
        <v>5</v>
      </c>
      <c r="R216">
        <v>4.46</v>
      </c>
      <c r="S216">
        <v>0</v>
      </c>
      <c r="T216" t="b">
        <v>0</v>
      </c>
      <c r="U216" t="str">
        <f t="shared" si="15"/>
        <v>High Usage</v>
      </c>
      <c r="V216" t="str">
        <f t="shared" si="16"/>
        <v>Normal</v>
      </c>
      <c r="W216" t="str">
        <f t="shared" si="17"/>
        <v>Stable</v>
      </c>
      <c r="X216" t="str">
        <f t="shared" si="18"/>
        <v>Low</v>
      </c>
      <c r="Y216">
        <f t="shared" si="19"/>
        <v>116</v>
      </c>
    </row>
    <row r="217" spans="1:25">
      <c r="A217" t="s">
        <v>58</v>
      </c>
      <c r="B217">
        <v>131</v>
      </c>
      <c r="C217">
        <v>408</v>
      </c>
      <c r="D217" t="s">
        <v>21</v>
      </c>
      <c r="E217" t="s">
        <v>21</v>
      </c>
      <c r="F217">
        <v>0</v>
      </c>
      <c r="G217">
        <v>94.4</v>
      </c>
      <c r="H217">
        <v>80</v>
      </c>
      <c r="I217">
        <v>16.05</v>
      </c>
      <c r="J217">
        <v>215.1</v>
      </c>
      <c r="K217">
        <v>101</v>
      </c>
      <c r="L217">
        <v>18.28</v>
      </c>
      <c r="M217">
        <v>179.7</v>
      </c>
      <c r="N217">
        <v>108</v>
      </c>
      <c r="O217">
        <v>8.09</v>
      </c>
      <c r="P217">
        <v>13.1</v>
      </c>
      <c r="Q217">
        <v>9</v>
      </c>
      <c r="R217">
        <v>3.54</v>
      </c>
      <c r="S217">
        <v>2</v>
      </c>
      <c r="T217" t="b">
        <v>0</v>
      </c>
      <c r="U217" t="str">
        <f t="shared" si="15"/>
        <v>Normal Usage</v>
      </c>
      <c r="V217" t="str">
        <f t="shared" si="16"/>
        <v>Normal</v>
      </c>
      <c r="W217" t="str">
        <f t="shared" si="17"/>
        <v>Stable</v>
      </c>
      <c r="X217" t="str">
        <f t="shared" si="18"/>
        <v>Low</v>
      </c>
      <c r="Y217">
        <f t="shared" si="19"/>
        <v>131</v>
      </c>
    </row>
    <row r="218" spans="1:25">
      <c r="A218" t="s">
        <v>33</v>
      </c>
      <c r="B218">
        <v>119</v>
      </c>
      <c r="C218">
        <v>510</v>
      </c>
      <c r="D218" t="s">
        <v>21</v>
      </c>
      <c r="E218" t="s">
        <v>21</v>
      </c>
      <c r="F218">
        <v>0</v>
      </c>
      <c r="G218">
        <v>190.4</v>
      </c>
      <c r="H218">
        <v>74</v>
      </c>
      <c r="I218">
        <v>32.369999999999997</v>
      </c>
      <c r="J218">
        <v>215.6</v>
      </c>
      <c r="K218">
        <v>113</v>
      </c>
      <c r="L218">
        <v>18.329999999999998</v>
      </c>
      <c r="M218">
        <v>161.19999999999999</v>
      </c>
      <c r="N218">
        <v>111</v>
      </c>
      <c r="O218">
        <v>7.25</v>
      </c>
      <c r="P218">
        <v>10</v>
      </c>
      <c r="Q218">
        <v>1</v>
      </c>
      <c r="R218">
        <v>2.7</v>
      </c>
      <c r="S218">
        <v>2</v>
      </c>
      <c r="T218" t="b">
        <v>0</v>
      </c>
      <c r="U218" t="str">
        <f t="shared" si="15"/>
        <v>Normal Usage</v>
      </c>
      <c r="V218" t="str">
        <f t="shared" si="16"/>
        <v>Normal</v>
      </c>
      <c r="W218" t="str">
        <f t="shared" si="17"/>
        <v>Stable</v>
      </c>
      <c r="X218" t="str">
        <f t="shared" si="18"/>
        <v>Low</v>
      </c>
      <c r="Y218">
        <f t="shared" si="19"/>
        <v>119</v>
      </c>
    </row>
    <row r="219" spans="1:25">
      <c r="A219" t="s">
        <v>23</v>
      </c>
      <c r="B219">
        <v>94</v>
      </c>
      <c r="C219">
        <v>510</v>
      </c>
      <c r="D219" t="s">
        <v>27</v>
      </c>
      <c r="E219" t="s">
        <v>21</v>
      </c>
      <c r="F219">
        <v>0</v>
      </c>
      <c r="G219">
        <v>243.2</v>
      </c>
      <c r="H219">
        <v>109</v>
      </c>
      <c r="I219">
        <v>41.34</v>
      </c>
      <c r="J219">
        <v>147</v>
      </c>
      <c r="K219">
        <v>88</v>
      </c>
      <c r="L219">
        <v>12.5</v>
      </c>
      <c r="M219">
        <v>94.9</v>
      </c>
      <c r="N219">
        <v>99</v>
      </c>
      <c r="O219">
        <v>4.2699999999999996</v>
      </c>
      <c r="P219">
        <v>7.2</v>
      </c>
      <c r="Q219">
        <v>4</v>
      </c>
      <c r="R219">
        <v>1.94</v>
      </c>
      <c r="S219">
        <v>4</v>
      </c>
      <c r="T219" t="b">
        <v>0</v>
      </c>
      <c r="U219" t="str">
        <f t="shared" si="15"/>
        <v>High Usage</v>
      </c>
      <c r="V219" t="str">
        <f t="shared" si="16"/>
        <v>High Risk</v>
      </c>
      <c r="W219" t="str">
        <f t="shared" si="17"/>
        <v>Potential Churn</v>
      </c>
      <c r="X219" t="str">
        <f t="shared" si="18"/>
        <v>Medium</v>
      </c>
      <c r="Y219">
        <f t="shared" si="19"/>
        <v>94</v>
      </c>
    </row>
    <row r="220" spans="1:25">
      <c r="A220" t="s">
        <v>48</v>
      </c>
      <c r="B220">
        <v>217</v>
      </c>
      <c r="C220">
        <v>408</v>
      </c>
      <c r="D220" t="s">
        <v>21</v>
      </c>
      <c r="E220" t="s">
        <v>21</v>
      </c>
      <c r="F220">
        <v>0</v>
      </c>
      <c r="G220">
        <v>176.4</v>
      </c>
      <c r="H220">
        <v>115</v>
      </c>
      <c r="I220">
        <v>29.99</v>
      </c>
      <c r="J220">
        <v>158.80000000000001</v>
      </c>
      <c r="K220">
        <v>128</v>
      </c>
      <c r="L220">
        <v>13.5</v>
      </c>
      <c r="M220">
        <v>306.60000000000002</v>
      </c>
      <c r="N220">
        <v>107</v>
      </c>
      <c r="O220">
        <v>13.8</v>
      </c>
      <c r="P220">
        <v>9.3000000000000007</v>
      </c>
      <c r="Q220">
        <v>3</v>
      </c>
      <c r="R220">
        <v>2.5099999999999998</v>
      </c>
      <c r="S220">
        <v>4</v>
      </c>
      <c r="T220" t="b">
        <v>0</v>
      </c>
      <c r="U220" t="str">
        <f t="shared" si="15"/>
        <v>Normal Usage</v>
      </c>
      <c r="V220" t="str">
        <f t="shared" si="16"/>
        <v>Normal</v>
      </c>
      <c r="W220" t="str">
        <f t="shared" si="17"/>
        <v>Potential Churn</v>
      </c>
      <c r="X220" t="str">
        <f t="shared" si="18"/>
        <v>Medium</v>
      </c>
      <c r="Y220">
        <f t="shared" si="19"/>
        <v>217</v>
      </c>
    </row>
    <row r="221" spans="1:25">
      <c r="A221" t="s">
        <v>47</v>
      </c>
      <c r="B221">
        <v>161</v>
      </c>
      <c r="C221">
        <v>415</v>
      </c>
      <c r="D221" t="s">
        <v>21</v>
      </c>
      <c r="E221" t="s">
        <v>21</v>
      </c>
      <c r="F221">
        <v>0</v>
      </c>
      <c r="G221">
        <v>178.1</v>
      </c>
      <c r="H221">
        <v>109</v>
      </c>
      <c r="I221">
        <v>30.28</v>
      </c>
      <c r="J221">
        <v>146.5</v>
      </c>
      <c r="K221">
        <v>86</v>
      </c>
      <c r="L221">
        <v>12.45</v>
      </c>
      <c r="M221">
        <v>137.6</v>
      </c>
      <c r="N221">
        <v>78</v>
      </c>
      <c r="O221">
        <v>6.19</v>
      </c>
      <c r="P221">
        <v>8.5</v>
      </c>
      <c r="Q221">
        <v>2</v>
      </c>
      <c r="R221">
        <v>2.2999999999999998</v>
      </c>
      <c r="S221">
        <v>1</v>
      </c>
      <c r="T221" t="b">
        <v>0</v>
      </c>
      <c r="U221" t="str">
        <f t="shared" si="15"/>
        <v>Normal Usage</v>
      </c>
      <c r="V221" t="str">
        <f t="shared" si="16"/>
        <v>Normal</v>
      </c>
      <c r="W221" t="str">
        <f t="shared" si="17"/>
        <v>Stable</v>
      </c>
      <c r="X221" t="str">
        <f t="shared" si="18"/>
        <v>Low</v>
      </c>
      <c r="Y221">
        <f t="shared" si="19"/>
        <v>161</v>
      </c>
    </row>
    <row r="222" spans="1:25">
      <c r="A222" t="s">
        <v>52</v>
      </c>
      <c r="B222">
        <v>67</v>
      </c>
      <c r="C222">
        <v>408</v>
      </c>
      <c r="D222" t="s">
        <v>21</v>
      </c>
      <c r="E222" t="s">
        <v>21</v>
      </c>
      <c r="F222">
        <v>0</v>
      </c>
      <c r="G222">
        <v>201.4</v>
      </c>
      <c r="H222">
        <v>101</v>
      </c>
      <c r="I222">
        <v>34.24</v>
      </c>
      <c r="J222">
        <v>97.6</v>
      </c>
      <c r="K222">
        <v>122</v>
      </c>
      <c r="L222">
        <v>8.3000000000000007</v>
      </c>
      <c r="M222">
        <v>202.5</v>
      </c>
      <c r="N222">
        <v>119</v>
      </c>
      <c r="O222">
        <v>9.11</v>
      </c>
      <c r="P222">
        <v>7</v>
      </c>
      <c r="Q222">
        <v>3</v>
      </c>
      <c r="R222">
        <v>1.89</v>
      </c>
      <c r="S222">
        <v>0</v>
      </c>
      <c r="T222" t="b">
        <v>0</v>
      </c>
      <c r="U222" t="str">
        <f t="shared" si="15"/>
        <v>High Usage</v>
      </c>
      <c r="V222" t="str">
        <f t="shared" si="16"/>
        <v>Normal</v>
      </c>
      <c r="W222" t="str">
        <f t="shared" si="17"/>
        <v>Stable</v>
      </c>
      <c r="X222" t="str">
        <f t="shared" si="18"/>
        <v>Low</v>
      </c>
      <c r="Y222">
        <f t="shared" si="19"/>
        <v>67</v>
      </c>
    </row>
    <row r="223" spans="1:25">
      <c r="A223" t="s">
        <v>68</v>
      </c>
      <c r="B223">
        <v>132</v>
      </c>
      <c r="C223">
        <v>415</v>
      </c>
      <c r="D223" t="s">
        <v>21</v>
      </c>
      <c r="E223" t="s">
        <v>27</v>
      </c>
      <c r="F223">
        <v>31</v>
      </c>
      <c r="G223">
        <v>174.5</v>
      </c>
      <c r="H223">
        <v>101</v>
      </c>
      <c r="I223">
        <v>29.67</v>
      </c>
      <c r="J223">
        <v>245.6</v>
      </c>
      <c r="K223">
        <v>105</v>
      </c>
      <c r="L223">
        <v>20.88</v>
      </c>
      <c r="M223">
        <v>172.8</v>
      </c>
      <c r="N223">
        <v>76</v>
      </c>
      <c r="O223">
        <v>7.78</v>
      </c>
      <c r="P223">
        <v>10.3</v>
      </c>
      <c r="Q223">
        <v>9</v>
      </c>
      <c r="R223">
        <v>2.78</v>
      </c>
      <c r="S223">
        <v>1</v>
      </c>
      <c r="T223" t="b">
        <v>0</v>
      </c>
      <c r="U223" t="str">
        <f t="shared" si="15"/>
        <v>Normal Usage</v>
      </c>
      <c r="V223" t="str">
        <f t="shared" si="16"/>
        <v>Normal</v>
      </c>
      <c r="W223" t="str">
        <f t="shared" si="17"/>
        <v>Stable</v>
      </c>
      <c r="X223" t="str">
        <f t="shared" si="18"/>
        <v>Low</v>
      </c>
      <c r="Y223">
        <f t="shared" si="19"/>
        <v>132</v>
      </c>
    </row>
    <row r="224" spans="1:25">
      <c r="A224" t="s">
        <v>67</v>
      </c>
      <c r="B224">
        <v>134</v>
      </c>
      <c r="C224">
        <v>408</v>
      </c>
      <c r="D224" t="s">
        <v>21</v>
      </c>
      <c r="E224" t="s">
        <v>21</v>
      </c>
      <c r="F224">
        <v>0</v>
      </c>
      <c r="G224">
        <v>205.3</v>
      </c>
      <c r="H224">
        <v>122</v>
      </c>
      <c r="I224">
        <v>34.9</v>
      </c>
      <c r="J224">
        <v>240.5</v>
      </c>
      <c r="K224">
        <v>155</v>
      </c>
      <c r="L224">
        <v>20.440000000000001</v>
      </c>
      <c r="M224">
        <v>179.1</v>
      </c>
      <c r="N224">
        <v>107</v>
      </c>
      <c r="O224">
        <v>8.06</v>
      </c>
      <c r="P224">
        <v>5</v>
      </c>
      <c r="Q224">
        <v>9</v>
      </c>
      <c r="R224">
        <v>1.35</v>
      </c>
      <c r="S224">
        <v>1</v>
      </c>
      <c r="T224" t="b">
        <v>0</v>
      </c>
      <c r="U224" t="str">
        <f t="shared" si="15"/>
        <v>High Usage</v>
      </c>
      <c r="V224" t="str">
        <f t="shared" si="16"/>
        <v>Normal</v>
      </c>
      <c r="W224" t="str">
        <f t="shared" si="17"/>
        <v>Stable</v>
      </c>
      <c r="X224" t="str">
        <f t="shared" si="18"/>
        <v>Low</v>
      </c>
      <c r="Y224">
        <f t="shared" si="19"/>
        <v>134</v>
      </c>
    </row>
    <row r="225" spans="1:25">
      <c r="A225" t="s">
        <v>23</v>
      </c>
      <c r="B225">
        <v>44</v>
      </c>
      <c r="C225">
        <v>510</v>
      </c>
      <c r="D225" t="s">
        <v>21</v>
      </c>
      <c r="E225" t="s">
        <v>21</v>
      </c>
      <c r="F225">
        <v>0</v>
      </c>
      <c r="G225">
        <v>143.19999999999999</v>
      </c>
      <c r="H225">
        <v>77</v>
      </c>
      <c r="I225">
        <v>24.34</v>
      </c>
      <c r="J225">
        <v>169.8</v>
      </c>
      <c r="K225">
        <v>114</v>
      </c>
      <c r="L225">
        <v>14.43</v>
      </c>
      <c r="M225">
        <v>215.8</v>
      </c>
      <c r="N225">
        <v>77</v>
      </c>
      <c r="O225">
        <v>9.7100000000000009</v>
      </c>
      <c r="P225">
        <v>7.6</v>
      </c>
      <c r="Q225">
        <v>4</v>
      </c>
      <c r="R225">
        <v>2.0499999999999998</v>
      </c>
      <c r="S225">
        <v>1</v>
      </c>
      <c r="T225" t="b">
        <v>0</v>
      </c>
      <c r="U225" t="str">
        <f t="shared" si="15"/>
        <v>Normal Usage</v>
      </c>
      <c r="V225" t="str">
        <f t="shared" si="16"/>
        <v>Normal</v>
      </c>
      <c r="W225" t="str">
        <f t="shared" si="17"/>
        <v>Stable</v>
      </c>
      <c r="X225" t="str">
        <f t="shared" si="18"/>
        <v>Low</v>
      </c>
      <c r="Y225">
        <f t="shared" si="19"/>
        <v>44</v>
      </c>
    </row>
    <row r="226" spans="1:25">
      <c r="A226" t="s">
        <v>50</v>
      </c>
      <c r="B226">
        <v>53</v>
      </c>
      <c r="C226">
        <v>415</v>
      </c>
      <c r="D226" t="s">
        <v>21</v>
      </c>
      <c r="E226" t="s">
        <v>27</v>
      </c>
      <c r="F226">
        <v>27</v>
      </c>
      <c r="G226">
        <v>25.9</v>
      </c>
      <c r="H226">
        <v>119</v>
      </c>
      <c r="I226">
        <v>4.4000000000000004</v>
      </c>
      <c r="J226">
        <v>206.5</v>
      </c>
      <c r="K226">
        <v>96</v>
      </c>
      <c r="L226">
        <v>17.55</v>
      </c>
      <c r="M226">
        <v>228.1</v>
      </c>
      <c r="N226">
        <v>64</v>
      </c>
      <c r="O226">
        <v>10.26</v>
      </c>
      <c r="P226">
        <v>6.5</v>
      </c>
      <c r="Q226">
        <v>7</v>
      </c>
      <c r="R226">
        <v>1.76</v>
      </c>
      <c r="S226">
        <v>1</v>
      </c>
      <c r="T226" t="b">
        <v>0</v>
      </c>
      <c r="U226" t="str">
        <f t="shared" si="15"/>
        <v>Normal Usage</v>
      </c>
      <c r="V226" t="str">
        <f t="shared" si="16"/>
        <v>Normal</v>
      </c>
      <c r="W226" t="str">
        <f t="shared" si="17"/>
        <v>Stable</v>
      </c>
      <c r="X226" t="str">
        <f t="shared" si="18"/>
        <v>Low</v>
      </c>
      <c r="Y226">
        <f t="shared" si="19"/>
        <v>53</v>
      </c>
    </row>
    <row r="227" spans="1:25">
      <c r="A227" t="s">
        <v>23</v>
      </c>
      <c r="B227">
        <v>108</v>
      </c>
      <c r="C227">
        <v>415</v>
      </c>
      <c r="D227" t="s">
        <v>21</v>
      </c>
      <c r="E227" t="s">
        <v>21</v>
      </c>
      <c r="F227">
        <v>0</v>
      </c>
      <c r="G227">
        <v>154.19999999999999</v>
      </c>
      <c r="H227">
        <v>123</v>
      </c>
      <c r="I227">
        <v>26.21</v>
      </c>
      <c r="J227">
        <v>112.3</v>
      </c>
      <c r="K227">
        <v>86</v>
      </c>
      <c r="L227">
        <v>9.5500000000000007</v>
      </c>
      <c r="M227">
        <v>246.4</v>
      </c>
      <c r="N227">
        <v>75</v>
      </c>
      <c r="O227">
        <v>11.09</v>
      </c>
      <c r="P227">
        <v>15.4</v>
      </c>
      <c r="Q227">
        <v>4</v>
      </c>
      <c r="R227">
        <v>4.16</v>
      </c>
      <c r="S227">
        <v>4</v>
      </c>
      <c r="T227" t="b">
        <v>1</v>
      </c>
      <c r="U227" t="str">
        <f t="shared" si="15"/>
        <v>Normal Usage</v>
      </c>
      <c r="V227" t="str">
        <f t="shared" si="16"/>
        <v>Normal</v>
      </c>
      <c r="W227" t="str">
        <f t="shared" si="17"/>
        <v>Potential Churn</v>
      </c>
      <c r="X227" t="str">
        <f t="shared" si="18"/>
        <v>Medium</v>
      </c>
      <c r="Y227">
        <f t="shared" si="19"/>
        <v>108</v>
      </c>
    </row>
    <row r="228" spans="1:25">
      <c r="A228" t="s">
        <v>62</v>
      </c>
      <c r="B228">
        <v>80</v>
      </c>
      <c r="C228">
        <v>408</v>
      </c>
      <c r="D228" t="s">
        <v>21</v>
      </c>
      <c r="E228" t="s">
        <v>21</v>
      </c>
      <c r="F228">
        <v>0</v>
      </c>
      <c r="G228">
        <v>322.3</v>
      </c>
      <c r="H228">
        <v>113</v>
      </c>
      <c r="I228">
        <v>54.79</v>
      </c>
      <c r="J228">
        <v>222</v>
      </c>
      <c r="K228">
        <v>95</v>
      </c>
      <c r="L228">
        <v>18.87</v>
      </c>
      <c r="M228">
        <v>162.80000000000001</v>
      </c>
      <c r="N228">
        <v>123</v>
      </c>
      <c r="O228">
        <v>7.33</v>
      </c>
      <c r="P228">
        <v>6.7</v>
      </c>
      <c r="Q228">
        <v>8</v>
      </c>
      <c r="R228">
        <v>1.81</v>
      </c>
      <c r="S228">
        <v>0</v>
      </c>
      <c r="T228" t="b">
        <v>1</v>
      </c>
      <c r="U228" t="str">
        <f t="shared" si="15"/>
        <v>High Usage</v>
      </c>
      <c r="V228" t="str">
        <f t="shared" si="16"/>
        <v>Normal</v>
      </c>
      <c r="W228" t="str">
        <f t="shared" si="17"/>
        <v>Potential Churn</v>
      </c>
      <c r="X228" t="str">
        <f t="shared" si="18"/>
        <v>Low</v>
      </c>
      <c r="Y228">
        <f t="shared" si="19"/>
        <v>80</v>
      </c>
    </row>
    <row r="229" spans="1:25">
      <c r="A229" t="s">
        <v>54</v>
      </c>
      <c r="B229">
        <v>88</v>
      </c>
      <c r="C229">
        <v>415</v>
      </c>
      <c r="D229" t="s">
        <v>21</v>
      </c>
      <c r="E229" t="s">
        <v>21</v>
      </c>
      <c r="F229">
        <v>0</v>
      </c>
      <c r="G229">
        <v>215.6</v>
      </c>
      <c r="H229">
        <v>115</v>
      </c>
      <c r="I229">
        <v>36.65</v>
      </c>
      <c r="J229">
        <v>216.2</v>
      </c>
      <c r="K229">
        <v>85</v>
      </c>
      <c r="L229">
        <v>18.38</v>
      </c>
      <c r="M229">
        <v>171.3</v>
      </c>
      <c r="N229">
        <v>65</v>
      </c>
      <c r="O229">
        <v>7.71</v>
      </c>
      <c r="P229">
        <v>11.8</v>
      </c>
      <c r="Q229">
        <v>1</v>
      </c>
      <c r="R229">
        <v>3.19</v>
      </c>
      <c r="S229">
        <v>3</v>
      </c>
      <c r="T229" t="b">
        <v>0</v>
      </c>
      <c r="U229" t="str">
        <f t="shared" si="15"/>
        <v>High Usage</v>
      </c>
      <c r="V229" t="str">
        <f t="shared" si="16"/>
        <v>Normal</v>
      </c>
      <c r="W229" t="str">
        <f t="shared" si="17"/>
        <v>Stable</v>
      </c>
      <c r="X229" t="str">
        <f t="shared" si="18"/>
        <v>Medium</v>
      </c>
      <c r="Y229">
        <f t="shared" si="19"/>
        <v>88</v>
      </c>
    </row>
    <row r="230" spans="1:25">
      <c r="A230" t="s">
        <v>59</v>
      </c>
      <c r="B230">
        <v>82</v>
      </c>
      <c r="C230">
        <v>510</v>
      </c>
      <c r="D230" t="s">
        <v>27</v>
      </c>
      <c r="E230" t="s">
        <v>21</v>
      </c>
      <c r="F230">
        <v>0</v>
      </c>
      <c r="G230">
        <v>208.8</v>
      </c>
      <c r="H230">
        <v>101</v>
      </c>
      <c r="I230">
        <v>35.5</v>
      </c>
      <c r="J230">
        <v>213.7</v>
      </c>
      <c r="K230">
        <v>87</v>
      </c>
      <c r="L230">
        <v>18.16</v>
      </c>
      <c r="M230">
        <v>175.1</v>
      </c>
      <c r="N230">
        <v>86</v>
      </c>
      <c r="O230">
        <v>7.88</v>
      </c>
      <c r="P230">
        <v>12.4</v>
      </c>
      <c r="Q230">
        <v>6</v>
      </c>
      <c r="R230">
        <v>3.35</v>
      </c>
      <c r="S230">
        <v>3</v>
      </c>
      <c r="T230" t="b">
        <v>0</v>
      </c>
      <c r="U230" t="str">
        <f t="shared" si="15"/>
        <v>High Usage</v>
      </c>
      <c r="V230" t="str">
        <f t="shared" si="16"/>
        <v>Normal</v>
      </c>
      <c r="W230" t="str">
        <f t="shared" si="17"/>
        <v>Stable</v>
      </c>
      <c r="X230" t="str">
        <f t="shared" si="18"/>
        <v>Medium</v>
      </c>
      <c r="Y230">
        <f t="shared" si="19"/>
        <v>82</v>
      </c>
    </row>
    <row r="231" spans="1:25">
      <c r="A231" t="s">
        <v>26</v>
      </c>
      <c r="B231">
        <v>115</v>
      </c>
      <c r="C231">
        <v>415</v>
      </c>
      <c r="D231" t="s">
        <v>21</v>
      </c>
      <c r="E231" t="s">
        <v>21</v>
      </c>
      <c r="F231">
        <v>0</v>
      </c>
      <c r="G231">
        <v>245.2</v>
      </c>
      <c r="H231">
        <v>105</v>
      </c>
      <c r="I231">
        <v>41.68</v>
      </c>
      <c r="J231">
        <v>159</v>
      </c>
      <c r="K231">
        <v>109</v>
      </c>
      <c r="L231">
        <v>13.52</v>
      </c>
      <c r="M231">
        <v>229.9</v>
      </c>
      <c r="N231">
        <v>74</v>
      </c>
      <c r="O231">
        <v>10.35</v>
      </c>
      <c r="P231">
        <v>7.2</v>
      </c>
      <c r="Q231">
        <v>8</v>
      </c>
      <c r="R231">
        <v>1.94</v>
      </c>
      <c r="S231">
        <v>0</v>
      </c>
      <c r="T231" t="b">
        <v>0</v>
      </c>
      <c r="U231" t="str">
        <f t="shared" si="15"/>
        <v>High Usage</v>
      </c>
      <c r="V231" t="str">
        <f t="shared" si="16"/>
        <v>Normal</v>
      </c>
      <c r="W231" t="str">
        <f t="shared" si="17"/>
        <v>Stable</v>
      </c>
      <c r="X231" t="str">
        <f t="shared" si="18"/>
        <v>Low</v>
      </c>
      <c r="Y231">
        <f t="shared" si="19"/>
        <v>115</v>
      </c>
    </row>
    <row r="232" spans="1:25">
      <c r="A232" t="s">
        <v>57</v>
      </c>
      <c r="B232">
        <v>93</v>
      </c>
      <c r="C232">
        <v>415</v>
      </c>
      <c r="D232" t="s">
        <v>21</v>
      </c>
      <c r="E232" t="s">
        <v>21</v>
      </c>
      <c r="F232">
        <v>0</v>
      </c>
      <c r="G232">
        <v>98.4</v>
      </c>
      <c r="H232">
        <v>78</v>
      </c>
      <c r="I232">
        <v>16.73</v>
      </c>
      <c r="J232">
        <v>249.6</v>
      </c>
      <c r="K232">
        <v>129</v>
      </c>
      <c r="L232">
        <v>21.22</v>
      </c>
      <c r="M232">
        <v>248.2</v>
      </c>
      <c r="N232">
        <v>114</v>
      </c>
      <c r="O232">
        <v>11.17</v>
      </c>
      <c r="P232">
        <v>14.2</v>
      </c>
      <c r="Q232">
        <v>4</v>
      </c>
      <c r="R232">
        <v>3.83</v>
      </c>
      <c r="S232">
        <v>1</v>
      </c>
      <c r="T232" t="b">
        <v>0</v>
      </c>
      <c r="U232" t="str">
        <f t="shared" si="15"/>
        <v>Normal Usage</v>
      </c>
      <c r="V232" t="str">
        <f t="shared" si="16"/>
        <v>Normal</v>
      </c>
      <c r="W232" t="str">
        <f t="shared" si="17"/>
        <v>Stable</v>
      </c>
      <c r="X232" t="str">
        <f t="shared" si="18"/>
        <v>Low</v>
      </c>
      <c r="Y232">
        <f t="shared" si="19"/>
        <v>93</v>
      </c>
    </row>
    <row r="233" spans="1:25">
      <c r="A233" t="s">
        <v>44</v>
      </c>
      <c r="B233">
        <v>72</v>
      </c>
      <c r="C233">
        <v>415</v>
      </c>
      <c r="D233" t="s">
        <v>21</v>
      </c>
      <c r="E233" t="s">
        <v>21</v>
      </c>
      <c r="F233">
        <v>0</v>
      </c>
      <c r="G233">
        <v>217.8</v>
      </c>
      <c r="H233">
        <v>93</v>
      </c>
      <c r="I233">
        <v>37.03</v>
      </c>
      <c r="J233">
        <v>189.7</v>
      </c>
      <c r="K233">
        <v>113</v>
      </c>
      <c r="L233">
        <v>16.12</v>
      </c>
      <c r="M233">
        <v>182.6</v>
      </c>
      <c r="N233">
        <v>91</v>
      </c>
      <c r="O233">
        <v>8.2200000000000006</v>
      </c>
      <c r="P233">
        <v>10.4</v>
      </c>
      <c r="Q233">
        <v>5</v>
      </c>
      <c r="R233">
        <v>2.81</v>
      </c>
      <c r="S233">
        <v>4</v>
      </c>
      <c r="T233" t="b">
        <v>0</v>
      </c>
      <c r="U233" t="str">
        <f t="shared" si="15"/>
        <v>High Usage</v>
      </c>
      <c r="V233" t="str">
        <f t="shared" si="16"/>
        <v>Normal</v>
      </c>
      <c r="W233" t="str">
        <f t="shared" si="17"/>
        <v>Potential Churn</v>
      </c>
      <c r="X233" t="str">
        <f t="shared" si="18"/>
        <v>Medium</v>
      </c>
      <c r="Y233">
        <f t="shared" si="19"/>
        <v>72</v>
      </c>
    </row>
    <row r="234" spans="1:25">
      <c r="A234" t="s">
        <v>58</v>
      </c>
      <c r="B234">
        <v>98</v>
      </c>
      <c r="C234">
        <v>415</v>
      </c>
      <c r="D234" t="s">
        <v>21</v>
      </c>
      <c r="E234" t="s">
        <v>27</v>
      </c>
      <c r="F234">
        <v>29</v>
      </c>
      <c r="G234">
        <v>179.9</v>
      </c>
      <c r="H234">
        <v>97</v>
      </c>
      <c r="I234">
        <v>30.58</v>
      </c>
      <c r="J234">
        <v>189.2</v>
      </c>
      <c r="K234">
        <v>89</v>
      </c>
      <c r="L234">
        <v>16.079999999999998</v>
      </c>
      <c r="M234">
        <v>164.3</v>
      </c>
      <c r="N234">
        <v>76</v>
      </c>
      <c r="O234">
        <v>7.39</v>
      </c>
      <c r="P234">
        <v>12.8</v>
      </c>
      <c r="Q234">
        <v>7</v>
      </c>
      <c r="R234">
        <v>3.46</v>
      </c>
      <c r="S234">
        <v>3</v>
      </c>
      <c r="T234" t="b">
        <v>0</v>
      </c>
      <c r="U234" t="str">
        <f t="shared" si="15"/>
        <v>Normal Usage</v>
      </c>
      <c r="V234" t="str">
        <f t="shared" si="16"/>
        <v>Normal</v>
      </c>
      <c r="W234" t="str">
        <f t="shared" si="17"/>
        <v>Stable</v>
      </c>
      <c r="X234" t="str">
        <f t="shared" si="18"/>
        <v>Medium</v>
      </c>
      <c r="Y234">
        <f t="shared" si="19"/>
        <v>98</v>
      </c>
    </row>
    <row r="235" spans="1:25">
      <c r="A235" t="s">
        <v>29</v>
      </c>
      <c r="B235">
        <v>118</v>
      </c>
      <c r="C235">
        <v>415</v>
      </c>
      <c r="D235" t="s">
        <v>21</v>
      </c>
      <c r="E235" t="s">
        <v>21</v>
      </c>
      <c r="F235">
        <v>0</v>
      </c>
      <c r="G235">
        <v>140.4</v>
      </c>
      <c r="H235">
        <v>112</v>
      </c>
      <c r="I235">
        <v>23.87</v>
      </c>
      <c r="J235">
        <v>187.1</v>
      </c>
      <c r="K235">
        <v>60</v>
      </c>
      <c r="L235">
        <v>15.9</v>
      </c>
      <c r="M235">
        <v>207.9</v>
      </c>
      <c r="N235">
        <v>155</v>
      </c>
      <c r="O235">
        <v>9.36</v>
      </c>
      <c r="P235">
        <v>7.9</v>
      </c>
      <c r="Q235">
        <v>1</v>
      </c>
      <c r="R235">
        <v>2.13</v>
      </c>
      <c r="S235">
        <v>0</v>
      </c>
      <c r="T235" t="b">
        <v>0</v>
      </c>
      <c r="U235" t="str">
        <f t="shared" si="15"/>
        <v>Normal Usage</v>
      </c>
      <c r="V235" t="str">
        <f t="shared" si="16"/>
        <v>Normal</v>
      </c>
      <c r="W235" t="str">
        <f t="shared" si="17"/>
        <v>Stable</v>
      </c>
      <c r="X235" t="str">
        <f t="shared" si="18"/>
        <v>Low</v>
      </c>
      <c r="Y235">
        <f t="shared" si="19"/>
        <v>118</v>
      </c>
    </row>
    <row r="236" spans="1:25">
      <c r="A236" t="s">
        <v>43</v>
      </c>
      <c r="B236">
        <v>55</v>
      </c>
      <c r="C236">
        <v>510</v>
      </c>
      <c r="D236" t="s">
        <v>21</v>
      </c>
      <c r="E236" t="s">
        <v>21</v>
      </c>
      <c r="F236">
        <v>0</v>
      </c>
      <c r="G236">
        <v>189</v>
      </c>
      <c r="H236">
        <v>100</v>
      </c>
      <c r="I236">
        <v>32.130000000000003</v>
      </c>
      <c r="J236">
        <v>118.5</v>
      </c>
      <c r="K236">
        <v>99</v>
      </c>
      <c r="L236">
        <v>10.07</v>
      </c>
      <c r="M236">
        <v>248.1</v>
      </c>
      <c r="N236">
        <v>87</v>
      </c>
      <c r="O236">
        <v>11.16</v>
      </c>
      <c r="P236">
        <v>17.100000000000001</v>
      </c>
      <c r="Q236">
        <v>6</v>
      </c>
      <c r="R236">
        <v>4.62</v>
      </c>
      <c r="S236">
        <v>0</v>
      </c>
      <c r="T236" t="b">
        <v>0</v>
      </c>
      <c r="U236" t="str">
        <f t="shared" si="15"/>
        <v>Normal Usage</v>
      </c>
      <c r="V236" t="str">
        <f t="shared" si="16"/>
        <v>Normal</v>
      </c>
      <c r="W236" t="str">
        <f t="shared" si="17"/>
        <v>Stable</v>
      </c>
      <c r="X236" t="str">
        <f t="shared" si="18"/>
        <v>Low</v>
      </c>
      <c r="Y236">
        <f t="shared" si="19"/>
        <v>55</v>
      </c>
    </row>
    <row r="237" spans="1:25">
      <c r="A237" t="s">
        <v>63</v>
      </c>
      <c r="B237">
        <v>130</v>
      </c>
      <c r="C237">
        <v>415</v>
      </c>
      <c r="D237" t="s">
        <v>21</v>
      </c>
      <c r="E237" t="s">
        <v>21</v>
      </c>
      <c r="F237">
        <v>0</v>
      </c>
      <c r="G237">
        <v>155.9</v>
      </c>
      <c r="H237">
        <v>95</v>
      </c>
      <c r="I237">
        <v>26.5</v>
      </c>
      <c r="J237">
        <v>256.10000000000002</v>
      </c>
      <c r="K237">
        <v>97</v>
      </c>
      <c r="L237">
        <v>21.77</v>
      </c>
      <c r="M237">
        <v>262.89999999999998</v>
      </c>
      <c r="N237">
        <v>103</v>
      </c>
      <c r="O237">
        <v>11.83</v>
      </c>
      <c r="P237">
        <v>11.7</v>
      </c>
      <c r="Q237">
        <v>3</v>
      </c>
      <c r="R237">
        <v>3.16</v>
      </c>
      <c r="S237">
        <v>3</v>
      </c>
      <c r="T237" t="b">
        <v>0</v>
      </c>
      <c r="U237" t="str">
        <f t="shared" si="15"/>
        <v>Normal Usage</v>
      </c>
      <c r="V237" t="str">
        <f t="shared" si="16"/>
        <v>Normal</v>
      </c>
      <c r="W237" t="str">
        <f t="shared" si="17"/>
        <v>Stable</v>
      </c>
      <c r="X237" t="str">
        <f t="shared" si="18"/>
        <v>Medium</v>
      </c>
      <c r="Y237">
        <f t="shared" si="19"/>
        <v>130</v>
      </c>
    </row>
    <row r="238" spans="1:25">
      <c r="A238" t="s">
        <v>51</v>
      </c>
      <c r="B238">
        <v>136</v>
      </c>
      <c r="C238">
        <v>408</v>
      </c>
      <c r="D238" t="s">
        <v>27</v>
      </c>
      <c r="E238" t="s">
        <v>21</v>
      </c>
      <c r="F238">
        <v>0</v>
      </c>
      <c r="G238">
        <v>199.2</v>
      </c>
      <c r="H238">
        <v>122</v>
      </c>
      <c r="I238">
        <v>33.86</v>
      </c>
      <c r="J238">
        <v>214.7</v>
      </c>
      <c r="K238">
        <v>114</v>
      </c>
      <c r="L238">
        <v>18.25</v>
      </c>
      <c r="M238">
        <v>150.9</v>
      </c>
      <c r="N238">
        <v>105</v>
      </c>
      <c r="O238">
        <v>6.79</v>
      </c>
      <c r="P238">
        <v>11.8</v>
      </c>
      <c r="Q238">
        <v>7</v>
      </c>
      <c r="R238">
        <v>3.19</v>
      </c>
      <c r="S238">
        <v>1</v>
      </c>
      <c r="T238" t="b">
        <v>0</v>
      </c>
      <c r="U238" t="str">
        <f t="shared" si="15"/>
        <v>Normal Usage</v>
      </c>
      <c r="V238" t="str">
        <f t="shared" si="16"/>
        <v>Normal</v>
      </c>
      <c r="W238" t="str">
        <f t="shared" si="17"/>
        <v>Stable</v>
      </c>
      <c r="X238" t="str">
        <f t="shared" si="18"/>
        <v>Low</v>
      </c>
      <c r="Y238">
        <f t="shared" si="19"/>
        <v>136</v>
      </c>
    </row>
    <row r="239" spans="1:25">
      <c r="A239" t="s">
        <v>36</v>
      </c>
      <c r="B239">
        <v>107</v>
      </c>
      <c r="C239">
        <v>415</v>
      </c>
      <c r="D239" t="s">
        <v>21</v>
      </c>
      <c r="E239" t="s">
        <v>21</v>
      </c>
      <c r="F239">
        <v>0</v>
      </c>
      <c r="G239">
        <v>157.1</v>
      </c>
      <c r="H239">
        <v>79</v>
      </c>
      <c r="I239">
        <v>26.71</v>
      </c>
      <c r="J239">
        <v>162.6</v>
      </c>
      <c r="K239">
        <v>124</v>
      </c>
      <c r="L239">
        <v>13.82</v>
      </c>
      <c r="M239">
        <v>150</v>
      </c>
      <c r="N239">
        <v>138</v>
      </c>
      <c r="O239">
        <v>6.75</v>
      </c>
      <c r="P239">
        <v>12.1</v>
      </c>
      <c r="Q239">
        <v>6</v>
      </c>
      <c r="R239">
        <v>3.27</v>
      </c>
      <c r="S239">
        <v>1</v>
      </c>
      <c r="T239" t="b">
        <v>0</v>
      </c>
      <c r="U239" t="str">
        <f t="shared" si="15"/>
        <v>Normal Usage</v>
      </c>
      <c r="V239" t="str">
        <f t="shared" si="16"/>
        <v>Normal</v>
      </c>
      <c r="W239" t="str">
        <f t="shared" si="17"/>
        <v>Stable</v>
      </c>
      <c r="X239" t="str">
        <f t="shared" si="18"/>
        <v>Low</v>
      </c>
      <c r="Y239">
        <f t="shared" si="19"/>
        <v>107</v>
      </c>
    </row>
    <row r="240" spans="1:25">
      <c r="A240" t="s">
        <v>28</v>
      </c>
      <c r="B240">
        <v>91</v>
      </c>
      <c r="C240">
        <v>415</v>
      </c>
      <c r="D240" t="s">
        <v>21</v>
      </c>
      <c r="E240" t="s">
        <v>21</v>
      </c>
      <c r="F240">
        <v>0</v>
      </c>
      <c r="G240">
        <v>154.4</v>
      </c>
      <c r="H240">
        <v>165</v>
      </c>
      <c r="I240">
        <v>26.25</v>
      </c>
      <c r="J240">
        <v>168.3</v>
      </c>
      <c r="K240">
        <v>121</v>
      </c>
      <c r="L240">
        <v>14.31</v>
      </c>
      <c r="M240">
        <v>239.9</v>
      </c>
      <c r="N240">
        <v>81</v>
      </c>
      <c r="O240">
        <v>10.8</v>
      </c>
      <c r="P240">
        <v>11.7</v>
      </c>
      <c r="Q240">
        <v>4</v>
      </c>
      <c r="R240">
        <v>3.16</v>
      </c>
      <c r="S240">
        <v>5</v>
      </c>
      <c r="T240" t="b">
        <v>1</v>
      </c>
      <c r="U240" t="str">
        <f t="shared" si="15"/>
        <v>Normal Usage</v>
      </c>
      <c r="V240" t="str">
        <f t="shared" si="16"/>
        <v>Normal</v>
      </c>
      <c r="W240" t="str">
        <f t="shared" si="17"/>
        <v>Potential Churn</v>
      </c>
      <c r="X240" t="str">
        <f t="shared" si="18"/>
        <v>Medium</v>
      </c>
      <c r="Y240">
        <f t="shared" si="19"/>
        <v>91</v>
      </c>
    </row>
    <row r="241" spans="1:25">
      <c r="A241" t="s">
        <v>23</v>
      </c>
      <c r="B241">
        <v>167</v>
      </c>
      <c r="C241">
        <v>415</v>
      </c>
      <c r="D241" t="s">
        <v>21</v>
      </c>
      <c r="E241" t="s">
        <v>21</v>
      </c>
      <c r="F241">
        <v>0</v>
      </c>
      <c r="G241">
        <v>166.4</v>
      </c>
      <c r="H241">
        <v>85</v>
      </c>
      <c r="I241">
        <v>28.29</v>
      </c>
      <c r="J241">
        <v>243.2</v>
      </c>
      <c r="K241">
        <v>135</v>
      </c>
      <c r="L241">
        <v>20.67</v>
      </c>
      <c r="M241">
        <v>229.2</v>
      </c>
      <c r="N241">
        <v>95</v>
      </c>
      <c r="O241">
        <v>10.31</v>
      </c>
      <c r="P241">
        <v>9.9</v>
      </c>
      <c r="Q241">
        <v>5</v>
      </c>
      <c r="R241">
        <v>2.67</v>
      </c>
      <c r="S241">
        <v>1</v>
      </c>
      <c r="T241" t="b">
        <v>0</v>
      </c>
      <c r="U241" t="str">
        <f t="shared" si="15"/>
        <v>Normal Usage</v>
      </c>
      <c r="V241" t="str">
        <f t="shared" si="16"/>
        <v>Normal</v>
      </c>
      <c r="W241" t="str">
        <f t="shared" si="17"/>
        <v>Stable</v>
      </c>
      <c r="X241" t="str">
        <f t="shared" si="18"/>
        <v>Low</v>
      </c>
      <c r="Y241">
        <f t="shared" si="19"/>
        <v>167</v>
      </c>
    </row>
    <row r="242" spans="1:25">
      <c r="A242" t="s">
        <v>52</v>
      </c>
      <c r="B242">
        <v>159</v>
      </c>
      <c r="C242">
        <v>415</v>
      </c>
      <c r="D242" t="s">
        <v>21</v>
      </c>
      <c r="E242" t="s">
        <v>27</v>
      </c>
      <c r="F242">
        <v>19</v>
      </c>
      <c r="G242">
        <v>184.1</v>
      </c>
      <c r="H242">
        <v>78</v>
      </c>
      <c r="I242">
        <v>31.3</v>
      </c>
      <c r="J242">
        <v>194.5</v>
      </c>
      <c r="K242">
        <v>71</v>
      </c>
      <c r="L242">
        <v>16.53</v>
      </c>
      <c r="M242">
        <v>225.6</v>
      </c>
      <c r="N242">
        <v>101</v>
      </c>
      <c r="O242">
        <v>10.15</v>
      </c>
      <c r="P242">
        <v>16.899999999999999</v>
      </c>
      <c r="Q242">
        <v>3</v>
      </c>
      <c r="R242">
        <v>4.5599999999999996</v>
      </c>
      <c r="S242">
        <v>0</v>
      </c>
      <c r="T242" t="b">
        <v>0</v>
      </c>
      <c r="U242" t="str">
        <f t="shared" si="15"/>
        <v>Normal Usage</v>
      </c>
      <c r="V242" t="str">
        <f t="shared" si="16"/>
        <v>Normal</v>
      </c>
      <c r="W242" t="str">
        <f t="shared" si="17"/>
        <v>Stable</v>
      </c>
      <c r="X242" t="str">
        <f t="shared" si="18"/>
        <v>Low</v>
      </c>
      <c r="Y242">
        <f t="shared" si="19"/>
        <v>159</v>
      </c>
    </row>
    <row r="243" spans="1:25">
      <c r="A243" t="s">
        <v>67</v>
      </c>
      <c r="B243">
        <v>122</v>
      </c>
      <c r="C243">
        <v>415</v>
      </c>
      <c r="D243" t="s">
        <v>21</v>
      </c>
      <c r="E243" t="s">
        <v>21</v>
      </c>
      <c r="F243">
        <v>0</v>
      </c>
      <c r="G243">
        <v>35.1</v>
      </c>
      <c r="H243">
        <v>62</v>
      </c>
      <c r="I243">
        <v>5.97</v>
      </c>
      <c r="J243">
        <v>180.8</v>
      </c>
      <c r="K243">
        <v>89</v>
      </c>
      <c r="L243">
        <v>15.37</v>
      </c>
      <c r="M243">
        <v>251.6</v>
      </c>
      <c r="N243">
        <v>58</v>
      </c>
      <c r="O243">
        <v>11.32</v>
      </c>
      <c r="P243">
        <v>12.7</v>
      </c>
      <c r="Q243">
        <v>2</v>
      </c>
      <c r="R243">
        <v>3.43</v>
      </c>
      <c r="S243">
        <v>1</v>
      </c>
      <c r="T243" t="b">
        <v>0</v>
      </c>
      <c r="U243" t="str">
        <f t="shared" si="15"/>
        <v>Normal Usage</v>
      </c>
      <c r="V243" t="str">
        <f t="shared" si="16"/>
        <v>Normal</v>
      </c>
      <c r="W243" t="str">
        <f t="shared" si="17"/>
        <v>Stable</v>
      </c>
      <c r="X243" t="str">
        <f t="shared" si="18"/>
        <v>Low</v>
      </c>
      <c r="Y243">
        <f t="shared" si="19"/>
        <v>122</v>
      </c>
    </row>
    <row r="244" spans="1:25">
      <c r="A244" t="s">
        <v>28</v>
      </c>
      <c r="B244">
        <v>105</v>
      </c>
      <c r="C244">
        <v>415</v>
      </c>
      <c r="D244" t="s">
        <v>21</v>
      </c>
      <c r="E244" t="s">
        <v>27</v>
      </c>
      <c r="F244">
        <v>29</v>
      </c>
      <c r="G244">
        <v>179.4</v>
      </c>
      <c r="H244">
        <v>113</v>
      </c>
      <c r="I244">
        <v>30.5</v>
      </c>
      <c r="J244">
        <v>275.39999999999998</v>
      </c>
      <c r="K244">
        <v>100</v>
      </c>
      <c r="L244">
        <v>23.41</v>
      </c>
      <c r="M244">
        <v>246.1</v>
      </c>
      <c r="N244">
        <v>105</v>
      </c>
      <c r="O244">
        <v>11.07</v>
      </c>
      <c r="P244">
        <v>10</v>
      </c>
      <c r="Q244">
        <v>5</v>
      </c>
      <c r="R244">
        <v>2.7</v>
      </c>
      <c r="S244">
        <v>0</v>
      </c>
      <c r="T244" t="b">
        <v>0</v>
      </c>
      <c r="U244" t="str">
        <f t="shared" si="15"/>
        <v>Normal Usage</v>
      </c>
      <c r="V244" t="str">
        <f t="shared" si="16"/>
        <v>Normal</v>
      </c>
      <c r="W244" t="str">
        <f t="shared" si="17"/>
        <v>Stable</v>
      </c>
      <c r="X244" t="str">
        <f t="shared" si="18"/>
        <v>Low</v>
      </c>
      <c r="Y244">
        <f t="shared" si="19"/>
        <v>105</v>
      </c>
    </row>
    <row r="245" spans="1:25">
      <c r="A245" t="s">
        <v>45</v>
      </c>
      <c r="B245">
        <v>155</v>
      </c>
      <c r="C245">
        <v>408</v>
      </c>
      <c r="D245" t="s">
        <v>21</v>
      </c>
      <c r="E245" t="s">
        <v>21</v>
      </c>
      <c r="F245">
        <v>0</v>
      </c>
      <c r="G245">
        <v>216.7</v>
      </c>
      <c r="H245">
        <v>30</v>
      </c>
      <c r="I245">
        <v>36.840000000000003</v>
      </c>
      <c r="J245">
        <v>144.30000000000001</v>
      </c>
      <c r="K245">
        <v>125</v>
      </c>
      <c r="L245">
        <v>12.27</v>
      </c>
      <c r="M245">
        <v>135.30000000000001</v>
      </c>
      <c r="N245">
        <v>106</v>
      </c>
      <c r="O245">
        <v>6.09</v>
      </c>
      <c r="P245">
        <v>10.8</v>
      </c>
      <c r="Q245">
        <v>1</v>
      </c>
      <c r="R245">
        <v>2.92</v>
      </c>
      <c r="S245">
        <v>2</v>
      </c>
      <c r="T245" t="b">
        <v>0</v>
      </c>
      <c r="U245" t="str">
        <f t="shared" si="15"/>
        <v>High Usage</v>
      </c>
      <c r="V245" t="str">
        <f t="shared" si="16"/>
        <v>Normal</v>
      </c>
      <c r="W245" t="str">
        <f t="shared" si="17"/>
        <v>Stable</v>
      </c>
      <c r="X245" t="str">
        <f t="shared" si="18"/>
        <v>Low</v>
      </c>
      <c r="Y245">
        <f t="shared" si="19"/>
        <v>155</v>
      </c>
    </row>
    <row r="246" spans="1:25">
      <c r="A246" t="s">
        <v>40</v>
      </c>
      <c r="B246">
        <v>161</v>
      </c>
      <c r="C246">
        <v>415</v>
      </c>
      <c r="D246" t="s">
        <v>21</v>
      </c>
      <c r="E246" t="s">
        <v>21</v>
      </c>
      <c r="F246">
        <v>0</v>
      </c>
      <c r="G246">
        <v>151.6</v>
      </c>
      <c r="H246">
        <v>117</v>
      </c>
      <c r="I246">
        <v>25.77</v>
      </c>
      <c r="J246">
        <v>219.4</v>
      </c>
      <c r="K246">
        <v>87</v>
      </c>
      <c r="L246">
        <v>18.649999999999999</v>
      </c>
      <c r="M246">
        <v>224.7</v>
      </c>
      <c r="N246">
        <v>68</v>
      </c>
      <c r="O246">
        <v>10.11</v>
      </c>
      <c r="P246">
        <v>4</v>
      </c>
      <c r="Q246">
        <v>5</v>
      </c>
      <c r="R246">
        <v>1.08</v>
      </c>
      <c r="S246">
        <v>1</v>
      </c>
      <c r="T246" t="b">
        <v>0</v>
      </c>
      <c r="U246" t="str">
        <f t="shared" si="15"/>
        <v>Normal Usage</v>
      </c>
      <c r="V246" t="str">
        <f t="shared" si="16"/>
        <v>Normal</v>
      </c>
      <c r="W246" t="str">
        <f t="shared" si="17"/>
        <v>Stable</v>
      </c>
      <c r="X246" t="str">
        <f t="shared" si="18"/>
        <v>Low</v>
      </c>
      <c r="Y246">
        <f t="shared" si="19"/>
        <v>161</v>
      </c>
    </row>
    <row r="247" spans="1:25">
      <c r="A247" t="s">
        <v>23</v>
      </c>
      <c r="B247">
        <v>122</v>
      </c>
      <c r="C247">
        <v>415</v>
      </c>
      <c r="D247" t="s">
        <v>21</v>
      </c>
      <c r="E247" t="s">
        <v>21</v>
      </c>
      <c r="F247">
        <v>0</v>
      </c>
      <c r="G247">
        <v>173.6</v>
      </c>
      <c r="H247">
        <v>110</v>
      </c>
      <c r="I247">
        <v>29.51</v>
      </c>
      <c r="J247">
        <v>91.7</v>
      </c>
      <c r="K247">
        <v>84</v>
      </c>
      <c r="L247">
        <v>7.79</v>
      </c>
      <c r="M247">
        <v>211.7</v>
      </c>
      <c r="N247">
        <v>103</v>
      </c>
      <c r="O247">
        <v>9.5299999999999994</v>
      </c>
      <c r="P247">
        <v>9.6999999999999993</v>
      </c>
      <c r="Q247">
        <v>7</v>
      </c>
      <c r="R247">
        <v>2.62</v>
      </c>
      <c r="S247">
        <v>3</v>
      </c>
      <c r="T247" t="b">
        <v>0</v>
      </c>
      <c r="U247" t="str">
        <f t="shared" si="15"/>
        <v>Normal Usage</v>
      </c>
      <c r="V247" t="str">
        <f t="shared" si="16"/>
        <v>Normal</v>
      </c>
      <c r="W247" t="str">
        <f t="shared" si="17"/>
        <v>Stable</v>
      </c>
      <c r="X247" t="str">
        <f t="shared" si="18"/>
        <v>Medium</v>
      </c>
      <c r="Y247">
        <f t="shared" si="19"/>
        <v>122</v>
      </c>
    </row>
    <row r="248" spans="1:25">
      <c r="A248" t="s">
        <v>65</v>
      </c>
      <c r="B248">
        <v>37</v>
      </c>
      <c r="C248">
        <v>415</v>
      </c>
      <c r="D248" t="s">
        <v>27</v>
      </c>
      <c r="E248" t="s">
        <v>21</v>
      </c>
      <c r="F248">
        <v>0</v>
      </c>
      <c r="G248">
        <v>106.6</v>
      </c>
      <c r="H248">
        <v>76</v>
      </c>
      <c r="I248">
        <v>18.12</v>
      </c>
      <c r="J248">
        <v>147.4</v>
      </c>
      <c r="K248">
        <v>89</v>
      </c>
      <c r="L248">
        <v>12.53</v>
      </c>
      <c r="M248">
        <v>235.8</v>
      </c>
      <c r="N248">
        <v>113</v>
      </c>
      <c r="O248">
        <v>10.61</v>
      </c>
      <c r="P248">
        <v>9.6</v>
      </c>
      <c r="Q248">
        <v>8</v>
      </c>
      <c r="R248">
        <v>2.59</v>
      </c>
      <c r="S248">
        <v>2</v>
      </c>
      <c r="T248" t="b">
        <v>0</v>
      </c>
      <c r="U248" t="str">
        <f t="shared" si="15"/>
        <v>Normal Usage</v>
      </c>
      <c r="V248" t="str">
        <f t="shared" si="16"/>
        <v>Normal</v>
      </c>
      <c r="W248" t="str">
        <f t="shared" si="17"/>
        <v>Stable</v>
      </c>
      <c r="X248" t="str">
        <f t="shared" si="18"/>
        <v>Low</v>
      </c>
      <c r="Y248">
        <f t="shared" si="19"/>
        <v>37</v>
      </c>
    </row>
    <row r="249" spans="1:25">
      <c r="A249" t="s">
        <v>52</v>
      </c>
      <c r="B249">
        <v>128</v>
      </c>
      <c r="C249">
        <v>415</v>
      </c>
      <c r="D249" t="s">
        <v>21</v>
      </c>
      <c r="E249" t="s">
        <v>21</v>
      </c>
      <c r="F249">
        <v>0</v>
      </c>
      <c r="G249">
        <v>103.3</v>
      </c>
      <c r="H249">
        <v>122</v>
      </c>
      <c r="I249">
        <v>17.559999999999999</v>
      </c>
      <c r="J249">
        <v>245.9</v>
      </c>
      <c r="K249">
        <v>123</v>
      </c>
      <c r="L249">
        <v>20.9</v>
      </c>
      <c r="M249">
        <v>161.1</v>
      </c>
      <c r="N249">
        <v>95</v>
      </c>
      <c r="O249">
        <v>7.25</v>
      </c>
      <c r="P249">
        <v>6.4</v>
      </c>
      <c r="Q249">
        <v>7</v>
      </c>
      <c r="R249">
        <v>1.73</v>
      </c>
      <c r="S249">
        <v>0</v>
      </c>
      <c r="T249" t="b">
        <v>0</v>
      </c>
      <c r="U249" t="str">
        <f t="shared" si="15"/>
        <v>Normal Usage</v>
      </c>
      <c r="V249" t="str">
        <f t="shared" si="16"/>
        <v>Normal</v>
      </c>
      <c r="W249" t="str">
        <f t="shared" si="17"/>
        <v>Stable</v>
      </c>
      <c r="X249" t="str">
        <f t="shared" si="18"/>
        <v>Low</v>
      </c>
      <c r="Y249">
        <f t="shared" si="19"/>
        <v>128</v>
      </c>
    </row>
    <row r="250" spans="1:25">
      <c r="A250" t="s">
        <v>58</v>
      </c>
      <c r="B250">
        <v>89</v>
      </c>
      <c r="C250">
        <v>510</v>
      </c>
      <c r="D250" t="s">
        <v>27</v>
      </c>
      <c r="E250" t="s">
        <v>21</v>
      </c>
      <c r="F250">
        <v>0</v>
      </c>
      <c r="G250">
        <v>125.6</v>
      </c>
      <c r="H250">
        <v>108</v>
      </c>
      <c r="I250">
        <v>21.35</v>
      </c>
      <c r="J250">
        <v>213</v>
      </c>
      <c r="K250">
        <v>90</v>
      </c>
      <c r="L250">
        <v>18.11</v>
      </c>
      <c r="M250">
        <v>181.7</v>
      </c>
      <c r="N250">
        <v>108</v>
      </c>
      <c r="O250">
        <v>8.18</v>
      </c>
      <c r="P250">
        <v>5.4</v>
      </c>
      <c r="Q250">
        <v>5</v>
      </c>
      <c r="R250">
        <v>1.46</v>
      </c>
      <c r="S250">
        <v>1</v>
      </c>
      <c r="T250" t="b">
        <v>0</v>
      </c>
      <c r="U250" t="str">
        <f t="shared" si="15"/>
        <v>Normal Usage</v>
      </c>
      <c r="V250" t="str">
        <f t="shared" si="16"/>
        <v>Normal</v>
      </c>
      <c r="W250" t="str">
        <f t="shared" si="17"/>
        <v>Stable</v>
      </c>
      <c r="X250" t="str">
        <f t="shared" si="18"/>
        <v>Low</v>
      </c>
      <c r="Y250">
        <f t="shared" si="19"/>
        <v>89</v>
      </c>
    </row>
    <row r="251" spans="1:25">
      <c r="A251" t="s">
        <v>22</v>
      </c>
      <c r="B251">
        <v>108</v>
      </c>
      <c r="C251">
        <v>415</v>
      </c>
      <c r="D251" t="s">
        <v>21</v>
      </c>
      <c r="E251" t="s">
        <v>21</v>
      </c>
      <c r="F251">
        <v>0</v>
      </c>
      <c r="G251">
        <v>199.3</v>
      </c>
      <c r="H251">
        <v>104</v>
      </c>
      <c r="I251">
        <v>33.880000000000003</v>
      </c>
      <c r="J251">
        <v>224.2</v>
      </c>
      <c r="K251">
        <v>92</v>
      </c>
      <c r="L251">
        <v>19.059999999999999</v>
      </c>
      <c r="M251">
        <v>140.1</v>
      </c>
      <c r="N251">
        <v>57</v>
      </c>
      <c r="O251">
        <v>6.3</v>
      </c>
      <c r="P251">
        <v>15.2</v>
      </c>
      <c r="Q251">
        <v>2</v>
      </c>
      <c r="R251">
        <v>4.0999999999999996</v>
      </c>
      <c r="S251">
        <v>0</v>
      </c>
      <c r="T251" t="b">
        <v>0</v>
      </c>
      <c r="U251" t="str">
        <f t="shared" si="15"/>
        <v>Normal Usage</v>
      </c>
      <c r="V251" t="str">
        <f t="shared" si="16"/>
        <v>Normal</v>
      </c>
      <c r="W251" t="str">
        <f t="shared" si="17"/>
        <v>Stable</v>
      </c>
      <c r="X251" t="str">
        <f t="shared" si="18"/>
        <v>Low</v>
      </c>
      <c r="Y251">
        <f t="shared" si="19"/>
        <v>108</v>
      </c>
    </row>
    <row r="252" spans="1:25">
      <c r="A252" t="s">
        <v>33</v>
      </c>
      <c r="B252">
        <v>109</v>
      </c>
      <c r="C252">
        <v>408</v>
      </c>
      <c r="D252" t="s">
        <v>21</v>
      </c>
      <c r="E252" t="s">
        <v>21</v>
      </c>
      <c r="F252">
        <v>0</v>
      </c>
      <c r="G252">
        <v>222.2</v>
      </c>
      <c r="H252">
        <v>113</v>
      </c>
      <c r="I252">
        <v>37.770000000000003</v>
      </c>
      <c r="J252">
        <v>218.5</v>
      </c>
      <c r="K252">
        <v>122</v>
      </c>
      <c r="L252">
        <v>18.57</v>
      </c>
      <c r="M252">
        <v>266</v>
      </c>
      <c r="N252">
        <v>88</v>
      </c>
      <c r="O252">
        <v>11.97</v>
      </c>
      <c r="P252">
        <v>10.9</v>
      </c>
      <c r="Q252">
        <v>5</v>
      </c>
      <c r="R252">
        <v>2.94</v>
      </c>
      <c r="S252">
        <v>1</v>
      </c>
      <c r="T252" t="b">
        <v>0</v>
      </c>
      <c r="U252" t="str">
        <f t="shared" si="15"/>
        <v>High Usage</v>
      </c>
      <c r="V252" t="str">
        <f t="shared" si="16"/>
        <v>Normal</v>
      </c>
      <c r="W252" t="str">
        <f t="shared" si="17"/>
        <v>Stable</v>
      </c>
      <c r="X252" t="str">
        <f t="shared" si="18"/>
        <v>Low</v>
      </c>
      <c r="Y252">
        <f t="shared" si="19"/>
        <v>109</v>
      </c>
    </row>
    <row r="253" spans="1:25">
      <c r="A253" t="s">
        <v>40</v>
      </c>
      <c r="B253">
        <v>29</v>
      </c>
      <c r="C253">
        <v>415</v>
      </c>
      <c r="D253" t="s">
        <v>21</v>
      </c>
      <c r="E253" t="s">
        <v>21</v>
      </c>
      <c r="F253">
        <v>0</v>
      </c>
      <c r="G253">
        <v>157.4</v>
      </c>
      <c r="H253">
        <v>122</v>
      </c>
      <c r="I253">
        <v>26.76</v>
      </c>
      <c r="J253">
        <v>145</v>
      </c>
      <c r="K253">
        <v>75</v>
      </c>
      <c r="L253">
        <v>12.33</v>
      </c>
      <c r="M253">
        <v>281.8</v>
      </c>
      <c r="N253">
        <v>92</v>
      </c>
      <c r="O253">
        <v>12.68</v>
      </c>
      <c r="P253">
        <v>9.3000000000000007</v>
      </c>
      <c r="Q253">
        <v>2</v>
      </c>
      <c r="R253">
        <v>2.5099999999999998</v>
      </c>
      <c r="S253">
        <v>1</v>
      </c>
      <c r="T253" t="b">
        <v>0</v>
      </c>
      <c r="U253" t="str">
        <f t="shared" si="15"/>
        <v>Normal Usage</v>
      </c>
      <c r="V253" t="str">
        <f t="shared" si="16"/>
        <v>Normal</v>
      </c>
      <c r="W253" t="str">
        <f t="shared" si="17"/>
        <v>Stable</v>
      </c>
      <c r="X253" t="str">
        <f t="shared" si="18"/>
        <v>Low</v>
      </c>
      <c r="Y253">
        <f t="shared" si="19"/>
        <v>29</v>
      </c>
    </row>
    <row r="254" spans="1:25">
      <c r="A254" t="s">
        <v>46</v>
      </c>
      <c r="B254">
        <v>119</v>
      </c>
      <c r="C254">
        <v>415</v>
      </c>
      <c r="D254" t="s">
        <v>27</v>
      </c>
      <c r="E254" t="s">
        <v>27</v>
      </c>
      <c r="F254">
        <v>15</v>
      </c>
      <c r="G254">
        <v>160</v>
      </c>
      <c r="H254">
        <v>95</v>
      </c>
      <c r="I254">
        <v>27.2</v>
      </c>
      <c r="J254">
        <v>209.5</v>
      </c>
      <c r="K254">
        <v>110</v>
      </c>
      <c r="L254">
        <v>17.809999999999999</v>
      </c>
      <c r="M254">
        <v>82.3</v>
      </c>
      <c r="N254">
        <v>107</v>
      </c>
      <c r="O254">
        <v>3.7</v>
      </c>
      <c r="P254">
        <v>8.6999999999999993</v>
      </c>
      <c r="Q254">
        <v>5</v>
      </c>
      <c r="R254">
        <v>2.35</v>
      </c>
      <c r="S254">
        <v>5</v>
      </c>
      <c r="T254" t="b">
        <v>1</v>
      </c>
      <c r="U254" t="str">
        <f t="shared" si="15"/>
        <v>Normal Usage</v>
      </c>
      <c r="V254" t="str">
        <f t="shared" si="16"/>
        <v>High Risk</v>
      </c>
      <c r="W254" t="str">
        <f t="shared" si="17"/>
        <v>Potential Churn</v>
      </c>
      <c r="X254" t="str">
        <f t="shared" si="18"/>
        <v>Medium</v>
      </c>
      <c r="Y254">
        <f t="shared" si="19"/>
        <v>119</v>
      </c>
    </row>
    <row r="255" spans="1:25">
      <c r="A255" t="s">
        <v>43</v>
      </c>
      <c r="B255">
        <v>86</v>
      </c>
      <c r="C255">
        <v>415</v>
      </c>
      <c r="D255" t="s">
        <v>21</v>
      </c>
      <c r="E255" t="s">
        <v>21</v>
      </c>
      <c r="F255">
        <v>0</v>
      </c>
      <c r="G255">
        <v>83.5</v>
      </c>
      <c r="H255">
        <v>96</v>
      </c>
      <c r="I255">
        <v>14.2</v>
      </c>
      <c r="J255">
        <v>221.1</v>
      </c>
      <c r="K255">
        <v>63</v>
      </c>
      <c r="L255">
        <v>18.79</v>
      </c>
      <c r="M255">
        <v>349.7</v>
      </c>
      <c r="N255">
        <v>75</v>
      </c>
      <c r="O255">
        <v>15.74</v>
      </c>
      <c r="P255">
        <v>12.6</v>
      </c>
      <c r="Q255">
        <v>3</v>
      </c>
      <c r="R255">
        <v>3.4</v>
      </c>
      <c r="S255">
        <v>0</v>
      </c>
      <c r="T255" t="b">
        <v>0</v>
      </c>
      <c r="U255" t="str">
        <f t="shared" si="15"/>
        <v>Normal Usage</v>
      </c>
      <c r="V255" t="str">
        <f t="shared" si="16"/>
        <v>Normal</v>
      </c>
      <c r="W255" t="str">
        <f t="shared" si="17"/>
        <v>Stable</v>
      </c>
      <c r="X255" t="str">
        <f t="shared" si="18"/>
        <v>Low</v>
      </c>
      <c r="Y255">
        <f t="shared" si="19"/>
        <v>86</v>
      </c>
    </row>
    <row r="256" spans="1:25">
      <c r="A256" t="s">
        <v>71</v>
      </c>
      <c r="B256">
        <v>92</v>
      </c>
      <c r="C256">
        <v>510</v>
      </c>
      <c r="D256" t="s">
        <v>21</v>
      </c>
      <c r="E256" t="s">
        <v>27</v>
      </c>
      <c r="F256">
        <v>25</v>
      </c>
      <c r="G256">
        <v>134</v>
      </c>
      <c r="H256">
        <v>112</v>
      </c>
      <c r="I256">
        <v>22.78</v>
      </c>
      <c r="J256">
        <v>206</v>
      </c>
      <c r="K256">
        <v>111</v>
      </c>
      <c r="L256">
        <v>17.510000000000002</v>
      </c>
      <c r="M256">
        <v>180.6</v>
      </c>
      <c r="N256">
        <v>118</v>
      </c>
      <c r="O256">
        <v>8.1300000000000008</v>
      </c>
      <c r="P256">
        <v>9.6999999999999993</v>
      </c>
      <c r="Q256">
        <v>4</v>
      </c>
      <c r="R256">
        <v>2.62</v>
      </c>
      <c r="S256">
        <v>0</v>
      </c>
      <c r="T256" t="b">
        <v>0</v>
      </c>
      <c r="U256" t="str">
        <f t="shared" si="15"/>
        <v>Normal Usage</v>
      </c>
      <c r="V256" t="str">
        <f t="shared" si="16"/>
        <v>Normal</v>
      </c>
      <c r="W256" t="str">
        <f t="shared" si="17"/>
        <v>Stable</v>
      </c>
      <c r="X256" t="str">
        <f t="shared" si="18"/>
        <v>Low</v>
      </c>
      <c r="Y256">
        <f t="shared" si="19"/>
        <v>92</v>
      </c>
    </row>
    <row r="257" spans="1:25">
      <c r="A257" t="s">
        <v>40</v>
      </c>
      <c r="B257">
        <v>13</v>
      </c>
      <c r="C257">
        <v>510</v>
      </c>
      <c r="D257" t="s">
        <v>21</v>
      </c>
      <c r="E257" t="s">
        <v>27</v>
      </c>
      <c r="F257">
        <v>25</v>
      </c>
      <c r="G257">
        <v>176.6</v>
      </c>
      <c r="H257">
        <v>65</v>
      </c>
      <c r="I257">
        <v>30.02</v>
      </c>
      <c r="J257">
        <v>172.7</v>
      </c>
      <c r="K257">
        <v>96</v>
      </c>
      <c r="L257">
        <v>14.68</v>
      </c>
      <c r="M257">
        <v>104.5</v>
      </c>
      <c r="N257">
        <v>128</v>
      </c>
      <c r="O257">
        <v>4.7</v>
      </c>
      <c r="P257">
        <v>11.3</v>
      </c>
      <c r="Q257">
        <v>5</v>
      </c>
      <c r="R257">
        <v>3.05</v>
      </c>
      <c r="S257">
        <v>2</v>
      </c>
      <c r="T257" t="b">
        <v>0</v>
      </c>
      <c r="U257" t="str">
        <f t="shared" si="15"/>
        <v>Normal Usage</v>
      </c>
      <c r="V257" t="str">
        <f t="shared" si="16"/>
        <v>Normal</v>
      </c>
      <c r="W257" t="str">
        <f t="shared" si="17"/>
        <v>Stable</v>
      </c>
      <c r="X257" t="str">
        <f t="shared" si="18"/>
        <v>Low</v>
      </c>
      <c r="Y257">
        <f t="shared" si="19"/>
        <v>13</v>
      </c>
    </row>
    <row r="258" spans="1:25">
      <c r="A258" t="s">
        <v>56</v>
      </c>
      <c r="B258">
        <v>144</v>
      </c>
      <c r="C258">
        <v>510</v>
      </c>
      <c r="D258" t="s">
        <v>27</v>
      </c>
      <c r="E258" t="s">
        <v>27</v>
      </c>
      <c r="F258">
        <v>35</v>
      </c>
      <c r="G258">
        <v>174.8</v>
      </c>
      <c r="H258">
        <v>127</v>
      </c>
      <c r="I258">
        <v>29.72</v>
      </c>
      <c r="J258">
        <v>219.6</v>
      </c>
      <c r="K258">
        <v>93</v>
      </c>
      <c r="L258">
        <v>18.670000000000002</v>
      </c>
      <c r="M258">
        <v>255.8</v>
      </c>
      <c r="N258">
        <v>90</v>
      </c>
      <c r="O258">
        <v>11.51</v>
      </c>
      <c r="P258">
        <v>12.8</v>
      </c>
      <c r="Q258">
        <v>3</v>
      </c>
      <c r="R258">
        <v>3.46</v>
      </c>
      <c r="S258">
        <v>0</v>
      </c>
      <c r="T258" t="b">
        <v>0</v>
      </c>
      <c r="U258" t="str">
        <f t="shared" si="15"/>
        <v>Normal Usage</v>
      </c>
      <c r="V258" t="str">
        <f t="shared" si="16"/>
        <v>Normal</v>
      </c>
      <c r="W258" t="str">
        <f t="shared" si="17"/>
        <v>Stable</v>
      </c>
      <c r="X258" t="str">
        <f t="shared" si="18"/>
        <v>Low</v>
      </c>
      <c r="Y258">
        <f t="shared" si="19"/>
        <v>144</v>
      </c>
    </row>
    <row r="259" spans="1:25">
      <c r="A259" t="s">
        <v>45</v>
      </c>
      <c r="B259">
        <v>139</v>
      </c>
      <c r="C259">
        <v>510</v>
      </c>
      <c r="D259" t="s">
        <v>21</v>
      </c>
      <c r="E259" t="s">
        <v>21</v>
      </c>
      <c r="F259">
        <v>0</v>
      </c>
      <c r="G259">
        <v>221.3</v>
      </c>
      <c r="H259">
        <v>140</v>
      </c>
      <c r="I259">
        <v>37.619999999999997</v>
      </c>
      <c r="J259">
        <v>157.80000000000001</v>
      </c>
      <c r="K259">
        <v>89</v>
      </c>
      <c r="L259">
        <v>13.41</v>
      </c>
      <c r="M259">
        <v>192.5</v>
      </c>
      <c r="N259">
        <v>89</v>
      </c>
      <c r="O259">
        <v>8.66</v>
      </c>
      <c r="P259">
        <v>11.3</v>
      </c>
      <c r="Q259">
        <v>6</v>
      </c>
      <c r="R259">
        <v>3.05</v>
      </c>
      <c r="S259">
        <v>1</v>
      </c>
      <c r="T259" t="b">
        <v>0</v>
      </c>
      <c r="U259" t="str">
        <f t="shared" ref="U259:U322" si="20">IF(G259&gt;200,"High Usage","Normal Usage")</f>
        <v>High Usage</v>
      </c>
      <c r="V259" t="str">
        <f t="shared" ref="V259:V322" si="21">IF(AND(S259&gt;3,D259="Yes"),"High Risk","Normal")</f>
        <v>Normal</v>
      </c>
      <c r="W259" t="str">
        <f t="shared" ref="W259:W322" si="22">IF(OR(S259&gt;3,G259&gt;250),"Potential Churn","Stable")</f>
        <v>Stable</v>
      </c>
      <c r="X259" t="str">
        <f t="shared" ref="X259:X322" si="23">IF(S259&gt;5,"Critical",IF(S259&gt;=3,"Medium","Low"))</f>
        <v>Low</v>
      </c>
      <c r="Y259">
        <f t="shared" ref="Y259:Y322" si="24">VLOOKUP(A259,A258:U925,2,FALSE)</f>
        <v>139</v>
      </c>
    </row>
    <row r="260" spans="1:25">
      <c r="A260" t="s">
        <v>20</v>
      </c>
      <c r="B260">
        <v>95</v>
      </c>
      <c r="C260">
        <v>415</v>
      </c>
      <c r="D260" t="s">
        <v>21</v>
      </c>
      <c r="E260" t="s">
        <v>21</v>
      </c>
      <c r="F260">
        <v>0</v>
      </c>
      <c r="G260">
        <v>141.1</v>
      </c>
      <c r="H260">
        <v>84</v>
      </c>
      <c r="I260">
        <v>23.99</v>
      </c>
      <c r="J260">
        <v>211.4</v>
      </c>
      <c r="K260">
        <v>108</v>
      </c>
      <c r="L260">
        <v>17.97</v>
      </c>
      <c r="M260">
        <v>103.7</v>
      </c>
      <c r="N260">
        <v>127</v>
      </c>
      <c r="O260">
        <v>4.67</v>
      </c>
      <c r="P260">
        <v>5.9</v>
      </c>
      <c r="Q260">
        <v>6</v>
      </c>
      <c r="R260">
        <v>1.59</v>
      </c>
      <c r="S260">
        <v>3</v>
      </c>
      <c r="T260" t="b">
        <v>0</v>
      </c>
      <c r="U260" t="str">
        <f t="shared" si="20"/>
        <v>Normal Usage</v>
      </c>
      <c r="V260" t="str">
        <f t="shared" si="21"/>
        <v>Normal</v>
      </c>
      <c r="W260" t="str">
        <f t="shared" si="22"/>
        <v>Stable</v>
      </c>
      <c r="X260" t="str">
        <f t="shared" si="23"/>
        <v>Medium</v>
      </c>
      <c r="Y260">
        <f t="shared" si="24"/>
        <v>95</v>
      </c>
    </row>
    <row r="261" spans="1:25">
      <c r="A261" t="s">
        <v>62</v>
      </c>
      <c r="B261">
        <v>80</v>
      </c>
      <c r="C261">
        <v>408</v>
      </c>
      <c r="D261" t="s">
        <v>21</v>
      </c>
      <c r="E261" t="s">
        <v>27</v>
      </c>
      <c r="F261">
        <v>31</v>
      </c>
      <c r="G261">
        <v>166.4</v>
      </c>
      <c r="H261">
        <v>92</v>
      </c>
      <c r="I261">
        <v>28.29</v>
      </c>
      <c r="J261">
        <v>238.3</v>
      </c>
      <c r="K261">
        <v>74</v>
      </c>
      <c r="L261">
        <v>20.260000000000002</v>
      </c>
      <c r="M261">
        <v>150.69999999999999</v>
      </c>
      <c r="N261">
        <v>84</v>
      </c>
      <c r="O261">
        <v>6.78</v>
      </c>
      <c r="P261">
        <v>10.7</v>
      </c>
      <c r="Q261">
        <v>4</v>
      </c>
      <c r="R261">
        <v>2.89</v>
      </c>
      <c r="S261">
        <v>4</v>
      </c>
      <c r="T261" t="b">
        <v>0</v>
      </c>
      <c r="U261" t="str">
        <f t="shared" si="20"/>
        <v>Normal Usage</v>
      </c>
      <c r="V261" t="str">
        <f t="shared" si="21"/>
        <v>Normal</v>
      </c>
      <c r="W261" t="str">
        <f t="shared" si="22"/>
        <v>Potential Churn</v>
      </c>
      <c r="X261" t="str">
        <f t="shared" si="23"/>
        <v>Medium</v>
      </c>
      <c r="Y261">
        <f t="shared" si="24"/>
        <v>80</v>
      </c>
    </row>
    <row r="262" spans="1:25">
      <c r="A262" t="s">
        <v>34</v>
      </c>
      <c r="B262">
        <v>113</v>
      </c>
      <c r="C262">
        <v>415</v>
      </c>
      <c r="D262" t="s">
        <v>21</v>
      </c>
      <c r="E262" t="s">
        <v>21</v>
      </c>
      <c r="F262">
        <v>0</v>
      </c>
      <c r="G262">
        <v>215.9</v>
      </c>
      <c r="H262">
        <v>93</v>
      </c>
      <c r="I262">
        <v>36.700000000000003</v>
      </c>
      <c r="J262">
        <v>240.1</v>
      </c>
      <c r="K262">
        <v>85</v>
      </c>
      <c r="L262">
        <v>20.41</v>
      </c>
      <c r="M262">
        <v>156.69999999999999</v>
      </c>
      <c r="N262">
        <v>123</v>
      </c>
      <c r="O262">
        <v>7.05</v>
      </c>
      <c r="P262">
        <v>4.9000000000000004</v>
      </c>
      <c r="Q262">
        <v>5</v>
      </c>
      <c r="R262">
        <v>1.32</v>
      </c>
      <c r="S262">
        <v>3</v>
      </c>
      <c r="T262" t="b">
        <v>0</v>
      </c>
      <c r="U262" t="str">
        <f t="shared" si="20"/>
        <v>High Usage</v>
      </c>
      <c r="V262" t="str">
        <f t="shared" si="21"/>
        <v>Normal</v>
      </c>
      <c r="W262" t="str">
        <f t="shared" si="22"/>
        <v>Stable</v>
      </c>
      <c r="X262" t="str">
        <f t="shared" si="23"/>
        <v>Medium</v>
      </c>
      <c r="Y262">
        <f t="shared" si="24"/>
        <v>113</v>
      </c>
    </row>
    <row r="263" spans="1:25">
      <c r="A263" t="s">
        <v>29</v>
      </c>
      <c r="B263">
        <v>88</v>
      </c>
      <c r="C263">
        <v>415</v>
      </c>
      <c r="D263" t="s">
        <v>21</v>
      </c>
      <c r="E263" t="s">
        <v>27</v>
      </c>
      <c r="F263">
        <v>31</v>
      </c>
      <c r="G263">
        <v>181.6</v>
      </c>
      <c r="H263">
        <v>91</v>
      </c>
      <c r="I263">
        <v>30.87</v>
      </c>
      <c r="J263">
        <v>213.2</v>
      </c>
      <c r="K263">
        <v>120</v>
      </c>
      <c r="L263">
        <v>18.12</v>
      </c>
      <c r="M263">
        <v>207.8</v>
      </c>
      <c r="N263">
        <v>104</v>
      </c>
      <c r="O263">
        <v>9.35</v>
      </c>
      <c r="P263">
        <v>11.4</v>
      </c>
      <c r="Q263">
        <v>4</v>
      </c>
      <c r="R263">
        <v>3.08</v>
      </c>
      <c r="S263">
        <v>1</v>
      </c>
      <c r="T263" t="b">
        <v>0</v>
      </c>
      <c r="U263" t="str">
        <f t="shared" si="20"/>
        <v>Normal Usage</v>
      </c>
      <c r="V263" t="str">
        <f t="shared" si="21"/>
        <v>Normal</v>
      </c>
      <c r="W263" t="str">
        <f t="shared" si="22"/>
        <v>Stable</v>
      </c>
      <c r="X263" t="str">
        <f t="shared" si="23"/>
        <v>Low</v>
      </c>
      <c r="Y263">
        <f t="shared" si="24"/>
        <v>88</v>
      </c>
    </row>
    <row r="264" spans="1:25">
      <c r="A264" t="s">
        <v>59</v>
      </c>
      <c r="B264">
        <v>74</v>
      </c>
      <c r="C264">
        <v>415</v>
      </c>
      <c r="D264" t="s">
        <v>21</v>
      </c>
      <c r="E264" t="s">
        <v>21</v>
      </c>
      <c r="F264">
        <v>0</v>
      </c>
      <c r="G264">
        <v>106.4</v>
      </c>
      <c r="H264">
        <v>84</v>
      </c>
      <c r="I264">
        <v>18.09</v>
      </c>
      <c r="J264">
        <v>140.19999999999999</v>
      </c>
      <c r="K264">
        <v>104</v>
      </c>
      <c r="L264">
        <v>11.92</v>
      </c>
      <c r="M264">
        <v>90.9</v>
      </c>
      <c r="N264">
        <v>81</v>
      </c>
      <c r="O264">
        <v>4.09</v>
      </c>
      <c r="P264">
        <v>11.4</v>
      </c>
      <c r="Q264">
        <v>3</v>
      </c>
      <c r="R264">
        <v>3.08</v>
      </c>
      <c r="S264">
        <v>1</v>
      </c>
      <c r="T264" t="b">
        <v>0</v>
      </c>
      <c r="U264" t="str">
        <f t="shared" si="20"/>
        <v>Normal Usage</v>
      </c>
      <c r="V264" t="str">
        <f t="shared" si="21"/>
        <v>Normal</v>
      </c>
      <c r="W264" t="str">
        <f t="shared" si="22"/>
        <v>Stable</v>
      </c>
      <c r="X264" t="str">
        <f t="shared" si="23"/>
        <v>Low</v>
      </c>
      <c r="Y264">
        <f t="shared" si="24"/>
        <v>74</v>
      </c>
    </row>
    <row r="265" spans="1:25">
      <c r="A265" t="s">
        <v>63</v>
      </c>
      <c r="B265">
        <v>48</v>
      </c>
      <c r="C265">
        <v>510</v>
      </c>
      <c r="D265" t="s">
        <v>21</v>
      </c>
      <c r="E265" t="s">
        <v>21</v>
      </c>
      <c r="F265">
        <v>0</v>
      </c>
      <c r="G265">
        <v>128.19999999999999</v>
      </c>
      <c r="H265">
        <v>71</v>
      </c>
      <c r="I265">
        <v>21.79</v>
      </c>
      <c r="J265">
        <v>48.1</v>
      </c>
      <c r="K265">
        <v>78</v>
      </c>
      <c r="L265">
        <v>4.09</v>
      </c>
      <c r="M265">
        <v>116.3</v>
      </c>
      <c r="N265">
        <v>80</v>
      </c>
      <c r="O265">
        <v>5.23</v>
      </c>
      <c r="P265">
        <v>8.9</v>
      </c>
      <c r="Q265">
        <v>3</v>
      </c>
      <c r="R265">
        <v>2.4</v>
      </c>
      <c r="S265">
        <v>0</v>
      </c>
      <c r="T265" t="b">
        <v>0</v>
      </c>
      <c r="U265" t="str">
        <f t="shared" si="20"/>
        <v>Normal Usage</v>
      </c>
      <c r="V265" t="str">
        <f t="shared" si="21"/>
        <v>Normal</v>
      </c>
      <c r="W265" t="str">
        <f t="shared" si="22"/>
        <v>Stable</v>
      </c>
      <c r="X265" t="str">
        <f t="shared" si="23"/>
        <v>Low</v>
      </c>
      <c r="Y265">
        <f t="shared" si="24"/>
        <v>48</v>
      </c>
    </row>
    <row r="266" spans="1:25">
      <c r="A266" t="s">
        <v>38</v>
      </c>
      <c r="B266">
        <v>163</v>
      </c>
      <c r="C266">
        <v>510</v>
      </c>
      <c r="D266" t="s">
        <v>21</v>
      </c>
      <c r="E266" t="s">
        <v>21</v>
      </c>
      <c r="F266">
        <v>0</v>
      </c>
      <c r="G266">
        <v>178.7</v>
      </c>
      <c r="H266">
        <v>56</v>
      </c>
      <c r="I266">
        <v>30.38</v>
      </c>
      <c r="J266">
        <v>215.7</v>
      </c>
      <c r="K266">
        <v>79</v>
      </c>
      <c r="L266">
        <v>18.329999999999998</v>
      </c>
      <c r="M266">
        <v>152.69999999999999</v>
      </c>
      <c r="N266">
        <v>84</v>
      </c>
      <c r="O266">
        <v>6.87</v>
      </c>
      <c r="P266">
        <v>10.6</v>
      </c>
      <c r="Q266">
        <v>2</v>
      </c>
      <c r="R266">
        <v>2.86</v>
      </c>
      <c r="S266">
        <v>4</v>
      </c>
      <c r="T266" t="b">
        <v>0</v>
      </c>
      <c r="U266" t="str">
        <f t="shared" si="20"/>
        <v>Normal Usage</v>
      </c>
      <c r="V266" t="str">
        <f t="shared" si="21"/>
        <v>Normal</v>
      </c>
      <c r="W266" t="str">
        <f t="shared" si="22"/>
        <v>Potential Churn</v>
      </c>
      <c r="X266" t="str">
        <f t="shared" si="23"/>
        <v>Medium</v>
      </c>
      <c r="Y266">
        <f t="shared" si="24"/>
        <v>163</v>
      </c>
    </row>
    <row r="267" spans="1:25">
      <c r="A267" t="s">
        <v>29</v>
      </c>
      <c r="B267">
        <v>56</v>
      </c>
      <c r="C267">
        <v>510</v>
      </c>
      <c r="D267" t="s">
        <v>21</v>
      </c>
      <c r="E267" t="s">
        <v>21</v>
      </c>
      <c r="F267">
        <v>0</v>
      </c>
      <c r="G267">
        <v>150.9</v>
      </c>
      <c r="H267">
        <v>79</v>
      </c>
      <c r="I267">
        <v>25.65</v>
      </c>
      <c r="J267">
        <v>161.80000000000001</v>
      </c>
      <c r="K267">
        <v>87</v>
      </c>
      <c r="L267">
        <v>13.75</v>
      </c>
      <c r="M267">
        <v>167.7</v>
      </c>
      <c r="N267">
        <v>115</v>
      </c>
      <c r="O267">
        <v>7.55</v>
      </c>
      <c r="P267">
        <v>11.7</v>
      </c>
      <c r="Q267">
        <v>5</v>
      </c>
      <c r="R267">
        <v>3.16</v>
      </c>
      <c r="S267">
        <v>3</v>
      </c>
      <c r="T267" t="b">
        <v>0</v>
      </c>
      <c r="U267" t="str">
        <f t="shared" si="20"/>
        <v>Normal Usage</v>
      </c>
      <c r="V267" t="str">
        <f t="shared" si="21"/>
        <v>Normal</v>
      </c>
      <c r="W267" t="str">
        <f t="shared" si="22"/>
        <v>Stable</v>
      </c>
      <c r="X267" t="str">
        <f t="shared" si="23"/>
        <v>Medium</v>
      </c>
      <c r="Y267">
        <f t="shared" si="24"/>
        <v>56</v>
      </c>
    </row>
    <row r="268" spans="1:25">
      <c r="A268" t="s">
        <v>48</v>
      </c>
      <c r="B268">
        <v>64</v>
      </c>
      <c r="C268">
        <v>415</v>
      </c>
      <c r="D268" t="s">
        <v>21</v>
      </c>
      <c r="E268" t="s">
        <v>21</v>
      </c>
      <c r="F268">
        <v>0</v>
      </c>
      <c r="G268">
        <v>168</v>
      </c>
      <c r="H268">
        <v>116</v>
      </c>
      <c r="I268">
        <v>28.56</v>
      </c>
      <c r="J268">
        <v>192.4</v>
      </c>
      <c r="K268">
        <v>94</v>
      </c>
      <c r="L268">
        <v>16.350000000000001</v>
      </c>
      <c r="M268">
        <v>166.5</v>
      </c>
      <c r="N268">
        <v>98</v>
      </c>
      <c r="O268">
        <v>7.49</v>
      </c>
      <c r="P268">
        <v>10.1</v>
      </c>
      <c r="Q268">
        <v>3</v>
      </c>
      <c r="R268">
        <v>2.73</v>
      </c>
      <c r="S268">
        <v>2</v>
      </c>
      <c r="T268" t="b">
        <v>0</v>
      </c>
      <c r="U268" t="str">
        <f t="shared" si="20"/>
        <v>Normal Usage</v>
      </c>
      <c r="V268" t="str">
        <f t="shared" si="21"/>
        <v>Normal</v>
      </c>
      <c r="W268" t="str">
        <f t="shared" si="22"/>
        <v>Stable</v>
      </c>
      <c r="X268" t="str">
        <f t="shared" si="23"/>
        <v>Low</v>
      </c>
      <c r="Y268">
        <f t="shared" si="24"/>
        <v>64</v>
      </c>
    </row>
    <row r="269" spans="1:25">
      <c r="A269" t="s">
        <v>34</v>
      </c>
      <c r="B269">
        <v>116</v>
      </c>
      <c r="C269">
        <v>415</v>
      </c>
      <c r="D269" t="s">
        <v>21</v>
      </c>
      <c r="E269" t="s">
        <v>27</v>
      </c>
      <c r="F269">
        <v>35</v>
      </c>
      <c r="G269">
        <v>182.8</v>
      </c>
      <c r="H269">
        <v>122</v>
      </c>
      <c r="I269">
        <v>31.08</v>
      </c>
      <c r="J269">
        <v>212.7</v>
      </c>
      <c r="K269">
        <v>119</v>
      </c>
      <c r="L269">
        <v>18.079999999999998</v>
      </c>
      <c r="M269">
        <v>193.8</v>
      </c>
      <c r="N269">
        <v>103</v>
      </c>
      <c r="O269">
        <v>8.7200000000000006</v>
      </c>
      <c r="P269">
        <v>11</v>
      </c>
      <c r="Q269">
        <v>2</v>
      </c>
      <c r="R269">
        <v>2.97</v>
      </c>
      <c r="S269">
        <v>1</v>
      </c>
      <c r="T269" t="b">
        <v>0</v>
      </c>
      <c r="U269" t="str">
        <f t="shared" si="20"/>
        <v>Normal Usage</v>
      </c>
      <c r="V269" t="str">
        <f t="shared" si="21"/>
        <v>Normal</v>
      </c>
      <c r="W269" t="str">
        <f t="shared" si="22"/>
        <v>Stable</v>
      </c>
      <c r="X269" t="str">
        <f t="shared" si="23"/>
        <v>Low</v>
      </c>
      <c r="Y269">
        <f t="shared" si="24"/>
        <v>116</v>
      </c>
    </row>
    <row r="270" spans="1:25">
      <c r="A270" t="s">
        <v>67</v>
      </c>
      <c r="B270">
        <v>101</v>
      </c>
      <c r="C270">
        <v>415</v>
      </c>
      <c r="D270" t="s">
        <v>27</v>
      </c>
      <c r="E270" t="s">
        <v>21</v>
      </c>
      <c r="F270">
        <v>0</v>
      </c>
      <c r="G270">
        <v>193.7</v>
      </c>
      <c r="H270">
        <v>108</v>
      </c>
      <c r="I270">
        <v>32.93</v>
      </c>
      <c r="J270">
        <v>186.6</v>
      </c>
      <c r="K270">
        <v>98</v>
      </c>
      <c r="L270">
        <v>15.86</v>
      </c>
      <c r="M270">
        <v>223</v>
      </c>
      <c r="N270">
        <v>100</v>
      </c>
      <c r="O270">
        <v>10.039999999999999</v>
      </c>
      <c r="P270">
        <v>11.6</v>
      </c>
      <c r="Q270">
        <v>8</v>
      </c>
      <c r="R270">
        <v>3.13</v>
      </c>
      <c r="S270">
        <v>0</v>
      </c>
      <c r="T270" t="b">
        <v>0</v>
      </c>
      <c r="U270" t="str">
        <f t="shared" si="20"/>
        <v>Normal Usage</v>
      </c>
      <c r="V270" t="str">
        <f t="shared" si="21"/>
        <v>Normal</v>
      </c>
      <c r="W270" t="str">
        <f t="shared" si="22"/>
        <v>Stable</v>
      </c>
      <c r="X270" t="str">
        <f t="shared" si="23"/>
        <v>Low</v>
      </c>
      <c r="Y270">
        <f t="shared" si="24"/>
        <v>101</v>
      </c>
    </row>
    <row r="271" spans="1:25">
      <c r="A271" t="s">
        <v>57</v>
      </c>
      <c r="B271">
        <v>85</v>
      </c>
      <c r="C271">
        <v>415</v>
      </c>
      <c r="D271" t="s">
        <v>27</v>
      </c>
      <c r="E271" t="s">
        <v>21</v>
      </c>
      <c r="F271">
        <v>0</v>
      </c>
      <c r="G271">
        <v>197.2</v>
      </c>
      <c r="H271">
        <v>97</v>
      </c>
      <c r="I271">
        <v>33.520000000000003</v>
      </c>
      <c r="J271">
        <v>211.7</v>
      </c>
      <c r="K271">
        <v>115</v>
      </c>
      <c r="L271">
        <v>17.989999999999998</v>
      </c>
      <c r="M271">
        <v>210.1</v>
      </c>
      <c r="N271">
        <v>133</v>
      </c>
      <c r="O271">
        <v>9.4499999999999993</v>
      </c>
      <c r="P271">
        <v>8.3000000000000007</v>
      </c>
      <c r="Q271">
        <v>4</v>
      </c>
      <c r="R271">
        <v>2.2400000000000002</v>
      </c>
      <c r="S271">
        <v>4</v>
      </c>
      <c r="T271" t="b">
        <v>0</v>
      </c>
      <c r="U271" t="str">
        <f t="shared" si="20"/>
        <v>Normal Usage</v>
      </c>
      <c r="V271" t="str">
        <f t="shared" si="21"/>
        <v>High Risk</v>
      </c>
      <c r="W271" t="str">
        <f t="shared" si="22"/>
        <v>Potential Churn</v>
      </c>
      <c r="X271" t="str">
        <f t="shared" si="23"/>
        <v>Medium</v>
      </c>
      <c r="Y271">
        <f t="shared" si="24"/>
        <v>85</v>
      </c>
    </row>
    <row r="272" spans="1:25">
      <c r="A272" t="s">
        <v>45</v>
      </c>
      <c r="B272">
        <v>90</v>
      </c>
      <c r="C272">
        <v>415</v>
      </c>
      <c r="D272" t="s">
        <v>21</v>
      </c>
      <c r="E272" t="s">
        <v>21</v>
      </c>
      <c r="F272">
        <v>0</v>
      </c>
      <c r="G272">
        <v>76.099999999999994</v>
      </c>
      <c r="H272">
        <v>121</v>
      </c>
      <c r="I272">
        <v>12.94</v>
      </c>
      <c r="J272">
        <v>290.3</v>
      </c>
      <c r="K272">
        <v>73</v>
      </c>
      <c r="L272">
        <v>24.68</v>
      </c>
      <c r="M272">
        <v>236.9</v>
      </c>
      <c r="N272">
        <v>89</v>
      </c>
      <c r="O272">
        <v>10.66</v>
      </c>
      <c r="P272">
        <v>10.8</v>
      </c>
      <c r="Q272">
        <v>3</v>
      </c>
      <c r="R272">
        <v>2.92</v>
      </c>
      <c r="S272">
        <v>0</v>
      </c>
      <c r="T272" t="b">
        <v>0</v>
      </c>
      <c r="U272" t="str">
        <f t="shared" si="20"/>
        <v>Normal Usage</v>
      </c>
      <c r="V272" t="str">
        <f t="shared" si="21"/>
        <v>Normal</v>
      </c>
      <c r="W272" t="str">
        <f t="shared" si="22"/>
        <v>Stable</v>
      </c>
      <c r="X272" t="str">
        <f t="shared" si="23"/>
        <v>Low</v>
      </c>
      <c r="Y272">
        <f t="shared" si="24"/>
        <v>90</v>
      </c>
    </row>
    <row r="273" spans="1:25">
      <c r="A273" t="s">
        <v>59</v>
      </c>
      <c r="B273">
        <v>73</v>
      </c>
      <c r="C273">
        <v>415</v>
      </c>
      <c r="D273" t="s">
        <v>21</v>
      </c>
      <c r="E273" t="s">
        <v>21</v>
      </c>
      <c r="F273">
        <v>0</v>
      </c>
      <c r="G273">
        <v>182.3</v>
      </c>
      <c r="H273">
        <v>115</v>
      </c>
      <c r="I273">
        <v>30.99</v>
      </c>
      <c r="J273">
        <v>199.2</v>
      </c>
      <c r="K273">
        <v>97</v>
      </c>
      <c r="L273">
        <v>16.93</v>
      </c>
      <c r="M273">
        <v>120.2</v>
      </c>
      <c r="N273">
        <v>113</v>
      </c>
      <c r="O273">
        <v>5.41</v>
      </c>
      <c r="P273">
        <v>18</v>
      </c>
      <c r="Q273">
        <v>5</v>
      </c>
      <c r="R273">
        <v>4.8600000000000003</v>
      </c>
      <c r="S273">
        <v>1</v>
      </c>
      <c r="T273" t="b">
        <v>0</v>
      </c>
      <c r="U273" t="str">
        <f t="shared" si="20"/>
        <v>Normal Usage</v>
      </c>
      <c r="V273" t="str">
        <f t="shared" si="21"/>
        <v>Normal</v>
      </c>
      <c r="W273" t="str">
        <f t="shared" si="22"/>
        <v>Stable</v>
      </c>
      <c r="X273" t="str">
        <f t="shared" si="23"/>
        <v>Low</v>
      </c>
      <c r="Y273">
        <f t="shared" si="24"/>
        <v>73</v>
      </c>
    </row>
    <row r="274" spans="1:25">
      <c r="A274" t="s">
        <v>45</v>
      </c>
      <c r="B274">
        <v>55</v>
      </c>
      <c r="C274">
        <v>408</v>
      </c>
      <c r="D274" t="s">
        <v>21</v>
      </c>
      <c r="E274" t="s">
        <v>27</v>
      </c>
      <c r="F274">
        <v>20</v>
      </c>
      <c r="G274">
        <v>189.3</v>
      </c>
      <c r="H274">
        <v>95</v>
      </c>
      <c r="I274">
        <v>32.18</v>
      </c>
      <c r="J274">
        <v>118.6</v>
      </c>
      <c r="K274">
        <v>113</v>
      </c>
      <c r="L274">
        <v>10.08</v>
      </c>
      <c r="M274">
        <v>250.2</v>
      </c>
      <c r="N274">
        <v>102</v>
      </c>
      <c r="O274">
        <v>11.26</v>
      </c>
      <c r="P274">
        <v>12.5</v>
      </c>
      <c r="Q274">
        <v>4</v>
      </c>
      <c r="R274">
        <v>3.38</v>
      </c>
      <c r="S274">
        <v>2</v>
      </c>
      <c r="T274" t="b">
        <v>0</v>
      </c>
      <c r="U274" t="str">
        <f t="shared" si="20"/>
        <v>Normal Usage</v>
      </c>
      <c r="V274" t="str">
        <f t="shared" si="21"/>
        <v>Normal</v>
      </c>
      <c r="W274" t="str">
        <f t="shared" si="22"/>
        <v>Stable</v>
      </c>
      <c r="X274" t="str">
        <f t="shared" si="23"/>
        <v>Low</v>
      </c>
      <c r="Y274">
        <f t="shared" si="24"/>
        <v>55</v>
      </c>
    </row>
    <row r="275" spans="1:25">
      <c r="A275" t="s">
        <v>26</v>
      </c>
      <c r="B275">
        <v>76</v>
      </c>
      <c r="C275">
        <v>415</v>
      </c>
      <c r="D275" t="s">
        <v>21</v>
      </c>
      <c r="E275" t="s">
        <v>27</v>
      </c>
      <c r="F275">
        <v>22</v>
      </c>
      <c r="G275">
        <v>160.1</v>
      </c>
      <c r="H275">
        <v>107</v>
      </c>
      <c r="I275">
        <v>27.22</v>
      </c>
      <c r="J275">
        <v>168.7</v>
      </c>
      <c r="K275">
        <v>136</v>
      </c>
      <c r="L275">
        <v>14.34</v>
      </c>
      <c r="M275">
        <v>23.2</v>
      </c>
      <c r="N275">
        <v>102</v>
      </c>
      <c r="O275">
        <v>1.04</v>
      </c>
      <c r="P275">
        <v>9.5</v>
      </c>
      <c r="Q275">
        <v>4</v>
      </c>
      <c r="R275">
        <v>2.57</v>
      </c>
      <c r="S275">
        <v>3</v>
      </c>
      <c r="T275" t="b">
        <v>0</v>
      </c>
      <c r="U275" t="str">
        <f t="shared" si="20"/>
        <v>Normal Usage</v>
      </c>
      <c r="V275" t="str">
        <f t="shared" si="21"/>
        <v>Normal</v>
      </c>
      <c r="W275" t="str">
        <f t="shared" si="22"/>
        <v>Stable</v>
      </c>
      <c r="X275" t="str">
        <f t="shared" si="23"/>
        <v>Medium</v>
      </c>
      <c r="Y275">
        <f t="shared" si="24"/>
        <v>76</v>
      </c>
    </row>
    <row r="276" spans="1:25">
      <c r="A276" t="s">
        <v>38</v>
      </c>
      <c r="B276">
        <v>157</v>
      </c>
      <c r="C276">
        <v>415</v>
      </c>
      <c r="D276" t="s">
        <v>21</v>
      </c>
      <c r="E276" t="s">
        <v>21</v>
      </c>
      <c r="F276">
        <v>0</v>
      </c>
      <c r="G276">
        <v>220.7</v>
      </c>
      <c r="H276">
        <v>105</v>
      </c>
      <c r="I276">
        <v>37.520000000000003</v>
      </c>
      <c r="J276">
        <v>119.3</v>
      </c>
      <c r="K276">
        <v>127</v>
      </c>
      <c r="L276">
        <v>10.14</v>
      </c>
      <c r="M276">
        <v>165.1</v>
      </c>
      <c r="N276">
        <v>113</v>
      </c>
      <c r="O276">
        <v>7.43</v>
      </c>
      <c r="P276">
        <v>11.5</v>
      </c>
      <c r="Q276">
        <v>7</v>
      </c>
      <c r="R276">
        <v>3.11</v>
      </c>
      <c r="S276">
        <v>4</v>
      </c>
      <c r="T276" t="b">
        <v>0</v>
      </c>
      <c r="U276" t="str">
        <f t="shared" si="20"/>
        <v>High Usage</v>
      </c>
      <c r="V276" t="str">
        <f t="shared" si="21"/>
        <v>Normal</v>
      </c>
      <c r="W276" t="str">
        <f t="shared" si="22"/>
        <v>Potential Churn</v>
      </c>
      <c r="X276" t="str">
        <f t="shared" si="23"/>
        <v>Medium</v>
      </c>
      <c r="Y276">
        <f t="shared" si="24"/>
        <v>157</v>
      </c>
    </row>
    <row r="277" spans="1:25">
      <c r="A277" t="s">
        <v>64</v>
      </c>
      <c r="B277">
        <v>131</v>
      </c>
      <c r="C277">
        <v>415</v>
      </c>
      <c r="D277" t="s">
        <v>21</v>
      </c>
      <c r="E277" t="s">
        <v>21</v>
      </c>
      <c r="F277">
        <v>0</v>
      </c>
      <c r="G277">
        <v>211.8</v>
      </c>
      <c r="H277">
        <v>115</v>
      </c>
      <c r="I277">
        <v>36.01</v>
      </c>
      <c r="J277">
        <v>260.5</v>
      </c>
      <c r="K277">
        <v>102</v>
      </c>
      <c r="L277">
        <v>22.14</v>
      </c>
      <c r="M277">
        <v>144.19999999999999</v>
      </c>
      <c r="N277">
        <v>96</v>
      </c>
      <c r="O277">
        <v>6.49</v>
      </c>
      <c r="P277">
        <v>10.8</v>
      </c>
      <c r="Q277">
        <v>7</v>
      </c>
      <c r="R277">
        <v>2.92</v>
      </c>
      <c r="S277">
        <v>0</v>
      </c>
      <c r="T277" t="b">
        <v>0</v>
      </c>
      <c r="U277" t="str">
        <f t="shared" si="20"/>
        <v>High Usage</v>
      </c>
      <c r="V277" t="str">
        <f t="shared" si="21"/>
        <v>Normal</v>
      </c>
      <c r="W277" t="str">
        <f t="shared" si="22"/>
        <v>Stable</v>
      </c>
      <c r="X277" t="str">
        <f t="shared" si="23"/>
        <v>Low</v>
      </c>
      <c r="Y277">
        <f t="shared" si="24"/>
        <v>131</v>
      </c>
    </row>
    <row r="278" spans="1:25">
      <c r="A278" t="s">
        <v>28</v>
      </c>
      <c r="B278">
        <v>51</v>
      </c>
      <c r="C278">
        <v>415</v>
      </c>
      <c r="D278" t="s">
        <v>21</v>
      </c>
      <c r="E278" t="s">
        <v>21</v>
      </c>
      <c r="F278">
        <v>0</v>
      </c>
      <c r="G278">
        <v>229.7</v>
      </c>
      <c r="H278">
        <v>129</v>
      </c>
      <c r="I278">
        <v>39.049999999999997</v>
      </c>
      <c r="J278">
        <v>336</v>
      </c>
      <c r="K278">
        <v>104</v>
      </c>
      <c r="L278">
        <v>28.56</v>
      </c>
      <c r="M278">
        <v>192.8</v>
      </c>
      <c r="N278">
        <v>128</v>
      </c>
      <c r="O278">
        <v>8.68</v>
      </c>
      <c r="P278">
        <v>9.6</v>
      </c>
      <c r="Q278">
        <v>1</v>
      </c>
      <c r="R278">
        <v>2.59</v>
      </c>
      <c r="S278">
        <v>1</v>
      </c>
      <c r="T278" t="b">
        <v>1</v>
      </c>
      <c r="U278" t="str">
        <f t="shared" si="20"/>
        <v>High Usage</v>
      </c>
      <c r="V278" t="str">
        <f t="shared" si="21"/>
        <v>Normal</v>
      </c>
      <c r="W278" t="str">
        <f t="shared" si="22"/>
        <v>Stable</v>
      </c>
      <c r="X278" t="str">
        <f t="shared" si="23"/>
        <v>Low</v>
      </c>
      <c r="Y278">
        <f t="shared" si="24"/>
        <v>51</v>
      </c>
    </row>
    <row r="279" spans="1:25">
      <c r="A279" t="s">
        <v>29</v>
      </c>
      <c r="B279">
        <v>166</v>
      </c>
      <c r="C279">
        <v>415</v>
      </c>
      <c r="D279" t="s">
        <v>21</v>
      </c>
      <c r="E279" t="s">
        <v>21</v>
      </c>
      <c r="F279">
        <v>0</v>
      </c>
      <c r="G279">
        <v>220.7</v>
      </c>
      <c r="H279">
        <v>106</v>
      </c>
      <c r="I279">
        <v>37.520000000000003</v>
      </c>
      <c r="J279">
        <v>177.8</v>
      </c>
      <c r="K279">
        <v>118</v>
      </c>
      <c r="L279">
        <v>15.11</v>
      </c>
      <c r="M279">
        <v>206.1</v>
      </c>
      <c r="N279">
        <v>102</v>
      </c>
      <c r="O279">
        <v>9.27</v>
      </c>
      <c r="P279">
        <v>12.4</v>
      </c>
      <c r="Q279">
        <v>9</v>
      </c>
      <c r="R279">
        <v>3.35</v>
      </c>
      <c r="S279">
        <v>1</v>
      </c>
      <c r="T279" t="b">
        <v>0</v>
      </c>
      <c r="U279" t="str">
        <f t="shared" si="20"/>
        <v>High Usage</v>
      </c>
      <c r="V279" t="str">
        <f t="shared" si="21"/>
        <v>Normal</v>
      </c>
      <c r="W279" t="str">
        <f t="shared" si="22"/>
        <v>Stable</v>
      </c>
      <c r="X279" t="str">
        <f t="shared" si="23"/>
        <v>Low</v>
      </c>
      <c r="Y279">
        <f t="shared" si="24"/>
        <v>166</v>
      </c>
    </row>
    <row r="280" spans="1:25">
      <c r="A280" t="s">
        <v>47</v>
      </c>
      <c r="B280">
        <v>66</v>
      </c>
      <c r="C280">
        <v>408</v>
      </c>
      <c r="D280" t="s">
        <v>21</v>
      </c>
      <c r="E280" t="s">
        <v>21</v>
      </c>
      <c r="F280">
        <v>0</v>
      </c>
      <c r="G280">
        <v>87.6</v>
      </c>
      <c r="H280">
        <v>76</v>
      </c>
      <c r="I280">
        <v>14.89</v>
      </c>
      <c r="J280">
        <v>262</v>
      </c>
      <c r="K280">
        <v>111</v>
      </c>
      <c r="L280">
        <v>22.27</v>
      </c>
      <c r="M280">
        <v>184.6</v>
      </c>
      <c r="N280">
        <v>125</v>
      </c>
      <c r="O280">
        <v>8.31</v>
      </c>
      <c r="P280">
        <v>9.1999999999999993</v>
      </c>
      <c r="Q280">
        <v>5</v>
      </c>
      <c r="R280">
        <v>2.48</v>
      </c>
      <c r="S280">
        <v>1</v>
      </c>
      <c r="T280" t="b">
        <v>0</v>
      </c>
      <c r="U280" t="str">
        <f t="shared" si="20"/>
        <v>Normal Usage</v>
      </c>
      <c r="V280" t="str">
        <f t="shared" si="21"/>
        <v>Normal</v>
      </c>
      <c r="W280" t="str">
        <f t="shared" si="22"/>
        <v>Stable</v>
      </c>
      <c r="X280" t="str">
        <f t="shared" si="23"/>
        <v>Low</v>
      </c>
      <c r="Y280">
        <f t="shared" si="24"/>
        <v>66</v>
      </c>
    </row>
    <row r="281" spans="1:25">
      <c r="A281" t="s">
        <v>59</v>
      </c>
      <c r="B281">
        <v>49</v>
      </c>
      <c r="C281">
        <v>415</v>
      </c>
      <c r="D281" t="s">
        <v>21</v>
      </c>
      <c r="E281" t="s">
        <v>21</v>
      </c>
      <c r="F281">
        <v>0</v>
      </c>
      <c r="G281">
        <v>266.3</v>
      </c>
      <c r="H281">
        <v>90</v>
      </c>
      <c r="I281">
        <v>45.27</v>
      </c>
      <c r="J281">
        <v>207.8</v>
      </c>
      <c r="K281">
        <v>117</v>
      </c>
      <c r="L281">
        <v>17.66</v>
      </c>
      <c r="M281">
        <v>205</v>
      </c>
      <c r="N281">
        <v>98</v>
      </c>
      <c r="O281">
        <v>9.23</v>
      </c>
      <c r="P281">
        <v>14</v>
      </c>
      <c r="Q281">
        <v>2</v>
      </c>
      <c r="R281">
        <v>3.78</v>
      </c>
      <c r="S281">
        <v>2</v>
      </c>
      <c r="T281" t="b">
        <v>1</v>
      </c>
      <c r="U281" t="str">
        <f t="shared" si="20"/>
        <v>High Usage</v>
      </c>
      <c r="V281" t="str">
        <f t="shared" si="21"/>
        <v>Normal</v>
      </c>
      <c r="W281" t="str">
        <f t="shared" si="22"/>
        <v>Potential Churn</v>
      </c>
      <c r="X281" t="str">
        <f t="shared" si="23"/>
        <v>Low</v>
      </c>
      <c r="Y281">
        <f t="shared" si="24"/>
        <v>49</v>
      </c>
    </row>
    <row r="282" spans="1:25">
      <c r="A282" t="s">
        <v>20</v>
      </c>
      <c r="B282">
        <v>89</v>
      </c>
      <c r="C282">
        <v>415</v>
      </c>
      <c r="D282" t="s">
        <v>21</v>
      </c>
      <c r="E282" t="s">
        <v>21</v>
      </c>
      <c r="F282">
        <v>0</v>
      </c>
      <c r="G282">
        <v>141.1</v>
      </c>
      <c r="H282">
        <v>92</v>
      </c>
      <c r="I282">
        <v>23.99</v>
      </c>
      <c r="J282">
        <v>249.1</v>
      </c>
      <c r="K282">
        <v>126</v>
      </c>
      <c r="L282">
        <v>21.17</v>
      </c>
      <c r="M282">
        <v>136</v>
      </c>
      <c r="N282">
        <v>73</v>
      </c>
      <c r="O282">
        <v>6.12</v>
      </c>
      <c r="P282">
        <v>10.8</v>
      </c>
      <c r="Q282">
        <v>2</v>
      </c>
      <c r="R282">
        <v>2.92</v>
      </c>
      <c r="S282">
        <v>2</v>
      </c>
      <c r="T282" t="b">
        <v>0</v>
      </c>
      <c r="U282" t="str">
        <f t="shared" si="20"/>
        <v>Normal Usage</v>
      </c>
      <c r="V282" t="str">
        <f t="shared" si="21"/>
        <v>Normal</v>
      </c>
      <c r="W282" t="str">
        <f t="shared" si="22"/>
        <v>Stable</v>
      </c>
      <c r="X282" t="str">
        <f t="shared" si="23"/>
        <v>Low</v>
      </c>
      <c r="Y282">
        <f t="shared" si="24"/>
        <v>89</v>
      </c>
    </row>
    <row r="283" spans="1:25">
      <c r="A283" t="s">
        <v>31</v>
      </c>
      <c r="B283">
        <v>90</v>
      </c>
      <c r="C283">
        <v>415</v>
      </c>
      <c r="D283" t="s">
        <v>21</v>
      </c>
      <c r="E283" t="s">
        <v>21</v>
      </c>
      <c r="F283">
        <v>0</v>
      </c>
      <c r="G283">
        <v>200.9</v>
      </c>
      <c r="H283">
        <v>92</v>
      </c>
      <c r="I283">
        <v>34.15</v>
      </c>
      <c r="J283">
        <v>164.3</v>
      </c>
      <c r="K283">
        <v>91</v>
      </c>
      <c r="L283">
        <v>13.97</v>
      </c>
      <c r="M283">
        <v>249</v>
      </c>
      <c r="N283">
        <v>98</v>
      </c>
      <c r="O283">
        <v>11.21</v>
      </c>
      <c r="P283">
        <v>8.9</v>
      </c>
      <c r="Q283">
        <v>7</v>
      </c>
      <c r="R283">
        <v>2.4</v>
      </c>
      <c r="S283">
        <v>1</v>
      </c>
      <c r="T283" t="b">
        <v>0</v>
      </c>
      <c r="U283" t="str">
        <f t="shared" si="20"/>
        <v>High Usage</v>
      </c>
      <c r="V283" t="str">
        <f t="shared" si="21"/>
        <v>Normal</v>
      </c>
      <c r="W283" t="str">
        <f t="shared" si="22"/>
        <v>Stable</v>
      </c>
      <c r="X283" t="str">
        <f t="shared" si="23"/>
        <v>Low</v>
      </c>
      <c r="Y283">
        <f t="shared" si="24"/>
        <v>90</v>
      </c>
    </row>
    <row r="284" spans="1:25">
      <c r="A284" t="s">
        <v>29</v>
      </c>
      <c r="B284">
        <v>193</v>
      </c>
      <c r="C284">
        <v>415</v>
      </c>
      <c r="D284" t="s">
        <v>21</v>
      </c>
      <c r="E284" t="s">
        <v>21</v>
      </c>
      <c r="F284">
        <v>0</v>
      </c>
      <c r="G284">
        <v>96.8</v>
      </c>
      <c r="H284">
        <v>92</v>
      </c>
      <c r="I284">
        <v>16.46</v>
      </c>
      <c r="J284">
        <v>142.6</v>
      </c>
      <c r="K284">
        <v>103</v>
      </c>
      <c r="L284">
        <v>12.12</v>
      </c>
      <c r="M284">
        <v>210.1</v>
      </c>
      <c r="N284">
        <v>115</v>
      </c>
      <c r="O284">
        <v>9.4499999999999993</v>
      </c>
      <c r="P284">
        <v>10.9</v>
      </c>
      <c r="Q284">
        <v>5</v>
      </c>
      <c r="R284">
        <v>2.94</v>
      </c>
      <c r="S284">
        <v>2</v>
      </c>
      <c r="T284" t="b">
        <v>1</v>
      </c>
      <c r="U284" t="str">
        <f t="shared" si="20"/>
        <v>Normal Usage</v>
      </c>
      <c r="V284" t="str">
        <f t="shared" si="21"/>
        <v>Normal</v>
      </c>
      <c r="W284" t="str">
        <f t="shared" si="22"/>
        <v>Stable</v>
      </c>
      <c r="X284" t="str">
        <f t="shared" si="23"/>
        <v>Low</v>
      </c>
      <c r="Y284">
        <f t="shared" si="24"/>
        <v>193</v>
      </c>
    </row>
    <row r="285" spans="1:25">
      <c r="A285" t="s">
        <v>70</v>
      </c>
      <c r="B285">
        <v>114</v>
      </c>
      <c r="C285">
        <v>510</v>
      </c>
      <c r="D285" t="s">
        <v>21</v>
      </c>
      <c r="E285" t="s">
        <v>21</v>
      </c>
      <c r="F285">
        <v>0</v>
      </c>
      <c r="G285">
        <v>172</v>
      </c>
      <c r="H285">
        <v>145</v>
      </c>
      <c r="I285">
        <v>29.24</v>
      </c>
      <c r="J285">
        <v>276.39999999999998</v>
      </c>
      <c r="K285">
        <v>101</v>
      </c>
      <c r="L285">
        <v>23.49</v>
      </c>
      <c r="M285">
        <v>193.7</v>
      </c>
      <c r="N285">
        <v>100</v>
      </c>
      <c r="O285">
        <v>8.7200000000000006</v>
      </c>
      <c r="P285">
        <v>10.1</v>
      </c>
      <c r="Q285">
        <v>9</v>
      </c>
      <c r="R285">
        <v>2.73</v>
      </c>
      <c r="S285">
        <v>1</v>
      </c>
      <c r="T285" t="b">
        <v>0</v>
      </c>
      <c r="U285" t="str">
        <f t="shared" si="20"/>
        <v>Normal Usage</v>
      </c>
      <c r="V285" t="str">
        <f t="shared" si="21"/>
        <v>Normal</v>
      </c>
      <c r="W285" t="str">
        <f t="shared" si="22"/>
        <v>Stable</v>
      </c>
      <c r="X285" t="str">
        <f t="shared" si="23"/>
        <v>Low</v>
      </c>
      <c r="Y285">
        <f t="shared" si="24"/>
        <v>114</v>
      </c>
    </row>
    <row r="286" spans="1:25">
      <c r="A286" t="s">
        <v>60</v>
      </c>
      <c r="B286">
        <v>7</v>
      </c>
      <c r="C286">
        <v>408</v>
      </c>
      <c r="D286" t="s">
        <v>21</v>
      </c>
      <c r="E286" t="s">
        <v>27</v>
      </c>
      <c r="F286">
        <v>30</v>
      </c>
      <c r="G286">
        <v>221.4</v>
      </c>
      <c r="H286">
        <v>114</v>
      </c>
      <c r="I286">
        <v>37.64</v>
      </c>
      <c r="J286">
        <v>165.8</v>
      </c>
      <c r="K286">
        <v>116</v>
      </c>
      <c r="L286">
        <v>14.09</v>
      </c>
      <c r="M286">
        <v>247</v>
      </c>
      <c r="N286">
        <v>105</v>
      </c>
      <c r="O286">
        <v>11.12</v>
      </c>
      <c r="P286">
        <v>10.8</v>
      </c>
      <c r="Q286">
        <v>12</v>
      </c>
      <c r="R286">
        <v>2.92</v>
      </c>
      <c r="S286">
        <v>1</v>
      </c>
      <c r="T286" t="b">
        <v>0</v>
      </c>
      <c r="U286" t="str">
        <f t="shared" si="20"/>
        <v>High Usage</v>
      </c>
      <c r="V286" t="str">
        <f t="shared" si="21"/>
        <v>Normal</v>
      </c>
      <c r="W286" t="str">
        <f t="shared" si="22"/>
        <v>Stable</v>
      </c>
      <c r="X286" t="str">
        <f t="shared" si="23"/>
        <v>Low</v>
      </c>
      <c r="Y286">
        <f t="shared" si="24"/>
        <v>7</v>
      </c>
    </row>
    <row r="287" spans="1:25">
      <c r="A287" t="s">
        <v>50</v>
      </c>
      <c r="B287">
        <v>71</v>
      </c>
      <c r="C287">
        <v>415</v>
      </c>
      <c r="D287" t="s">
        <v>21</v>
      </c>
      <c r="E287" t="s">
        <v>21</v>
      </c>
      <c r="F287">
        <v>0</v>
      </c>
      <c r="G287">
        <v>243.7</v>
      </c>
      <c r="H287">
        <v>124</v>
      </c>
      <c r="I287">
        <v>41.43</v>
      </c>
      <c r="J287">
        <v>60</v>
      </c>
      <c r="K287">
        <v>90</v>
      </c>
      <c r="L287">
        <v>5.0999999999999996</v>
      </c>
      <c r="M287">
        <v>189</v>
      </c>
      <c r="N287">
        <v>129</v>
      </c>
      <c r="O287">
        <v>8.5</v>
      </c>
      <c r="P287">
        <v>11.3</v>
      </c>
      <c r="Q287">
        <v>2</v>
      </c>
      <c r="R287">
        <v>3.05</v>
      </c>
      <c r="S287">
        <v>0</v>
      </c>
      <c r="T287" t="b">
        <v>0</v>
      </c>
      <c r="U287" t="str">
        <f t="shared" si="20"/>
        <v>High Usage</v>
      </c>
      <c r="V287" t="str">
        <f t="shared" si="21"/>
        <v>Normal</v>
      </c>
      <c r="W287" t="str">
        <f t="shared" si="22"/>
        <v>Stable</v>
      </c>
      <c r="X287" t="str">
        <f t="shared" si="23"/>
        <v>Low</v>
      </c>
      <c r="Y287">
        <f t="shared" si="24"/>
        <v>71</v>
      </c>
    </row>
    <row r="288" spans="1:25">
      <c r="A288" t="s">
        <v>63</v>
      </c>
      <c r="B288">
        <v>31</v>
      </c>
      <c r="C288">
        <v>415</v>
      </c>
      <c r="D288" t="s">
        <v>21</v>
      </c>
      <c r="E288" t="s">
        <v>27</v>
      </c>
      <c r="F288">
        <v>28</v>
      </c>
      <c r="G288">
        <v>210.5</v>
      </c>
      <c r="H288">
        <v>101</v>
      </c>
      <c r="I288">
        <v>35.79</v>
      </c>
      <c r="J288">
        <v>250.5</v>
      </c>
      <c r="K288">
        <v>86</v>
      </c>
      <c r="L288">
        <v>21.29</v>
      </c>
      <c r="M288">
        <v>241.6</v>
      </c>
      <c r="N288">
        <v>125</v>
      </c>
      <c r="O288">
        <v>10.87</v>
      </c>
      <c r="P288">
        <v>11.5</v>
      </c>
      <c r="Q288">
        <v>2</v>
      </c>
      <c r="R288">
        <v>3.11</v>
      </c>
      <c r="S288">
        <v>1</v>
      </c>
      <c r="T288" t="b">
        <v>0</v>
      </c>
      <c r="U288" t="str">
        <f t="shared" si="20"/>
        <v>High Usage</v>
      </c>
      <c r="V288" t="str">
        <f t="shared" si="21"/>
        <v>Normal</v>
      </c>
      <c r="W288" t="str">
        <f t="shared" si="22"/>
        <v>Stable</v>
      </c>
      <c r="X288" t="str">
        <f t="shared" si="23"/>
        <v>Low</v>
      </c>
      <c r="Y288">
        <f t="shared" si="24"/>
        <v>31</v>
      </c>
    </row>
    <row r="289" spans="1:25">
      <c r="A289" t="s">
        <v>35</v>
      </c>
      <c r="B289">
        <v>111</v>
      </c>
      <c r="C289">
        <v>415</v>
      </c>
      <c r="D289" t="s">
        <v>21</v>
      </c>
      <c r="E289" t="s">
        <v>21</v>
      </c>
      <c r="F289">
        <v>0</v>
      </c>
      <c r="G289">
        <v>284.39999999999998</v>
      </c>
      <c r="H289">
        <v>89</v>
      </c>
      <c r="I289">
        <v>48.35</v>
      </c>
      <c r="J289">
        <v>157</v>
      </c>
      <c r="K289">
        <v>113</v>
      </c>
      <c r="L289">
        <v>13.35</v>
      </c>
      <c r="M289">
        <v>242.8</v>
      </c>
      <c r="N289">
        <v>91</v>
      </c>
      <c r="O289">
        <v>10.93</v>
      </c>
      <c r="P289">
        <v>8.4</v>
      </c>
      <c r="Q289">
        <v>8</v>
      </c>
      <c r="R289">
        <v>2.27</v>
      </c>
      <c r="S289">
        <v>0</v>
      </c>
      <c r="T289" t="b">
        <v>1</v>
      </c>
      <c r="U289" t="str">
        <f t="shared" si="20"/>
        <v>High Usage</v>
      </c>
      <c r="V289" t="str">
        <f t="shared" si="21"/>
        <v>Normal</v>
      </c>
      <c r="W289" t="str">
        <f t="shared" si="22"/>
        <v>Potential Churn</v>
      </c>
      <c r="X289" t="str">
        <f t="shared" si="23"/>
        <v>Low</v>
      </c>
      <c r="Y289">
        <f t="shared" si="24"/>
        <v>111</v>
      </c>
    </row>
    <row r="290" spans="1:25">
      <c r="A290" t="s">
        <v>38</v>
      </c>
      <c r="B290">
        <v>97</v>
      </c>
      <c r="C290">
        <v>408</v>
      </c>
      <c r="D290" t="s">
        <v>21</v>
      </c>
      <c r="E290" t="s">
        <v>21</v>
      </c>
      <c r="F290">
        <v>0</v>
      </c>
      <c r="G290">
        <v>169.7</v>
      </c>
      <c r="H290">
        <v>84</v>
      </c>
      <c r="I290">
        <v>28.85</v>
      </c>
      <c r="J290">
        <v>165.9</v>
      </c>
      <c r="K290">
        <v>86</v>
      </c>
      <c r="L290">
        <v>14.1</v>
      </c>
      <c r="M290">
        <v>191.9</v>
      </c>
      <c r="N290">
        <v>83</v>
      </c>
      <c r="O290">
        <v>8.64</v>
      </c>
      <c r="P290">
        <v>12.8</v>
      </c>
      <c r="Q290">
        <v>6</v>
      </c>
      <c r="R290">
        <v>3.46</v>
      </c>
      <c r="S290">
        <v>3</v>
      </c>
      <c r="T290" t="b">
        <v>0</v>
      </c>
      <c r="U290" t="str">
        <f t="shared" si="20"/>
        <v>Normal Usage</v>
      </c>
      <c r="V290" t="str">
        <f t="shared" si="21"/>
        <v>Normal</v>
      </c>
      <c r="W290" t="str">
        <f t="shared" si="22"/>
        <v>Stable</v>
      </c>
      <c r="X290" t="str">
        <f t="shared" si="23"/>
        <v>Medium</v>
      </c>
      <c r="Y290">
        <f t="shared" si="24"/>
        <v>97</v>
      </c>
    </row>
    <row r="291" spans="1:25">
      <c r="A291" t="s">
        <v>68</v>
      </c>
      <c r="B291">
        <v>51</v>
      </c>
      <c r="C291">
        <v>510</v>
      </c>
      <c r="D291" t="s">
        <v>21</v>
      </c>
      <c r="E291" t="s">
        <v>21</v>
      </c>
      <c r="F291">
        <v>0</v>
      </c>
      <c r="G291">
        <v>227.2</v>
      </c>
      <c r="H291">
        <v>89</v>
      </c>
      <c r="I291">
        <v>38.619999999999997</v>
      </c>
      <c r="J291">
        <v>194.4</v>
      </c>
      <c r="K291">
        <v>106</v>
      </c>
      <c r="L291">
        <v>16.52</v>
      </c>
      <c r="M291">
        <v>243.4</v>
      </c>
      <c r="N291">
        <v>126</v>
      </c>
      <c r="O291">
        <v>10.95</v>
      </c>
      <c r="P291">
        <v>14.9</v>
      </c>
      <c r="Q291">
        <v>2</v>
      </c>
      <c r="R291">
        <v>4.0199999999999996</v>
      </c>
      <c r="S291">
        <v>0</v>
      </c>
      <c r="T291" t="b">
        <v>0</v>
      </c>
      <c r="U291" t="str">
        <f t="shared" si="20"/>
        <v>High Usage</v>
      </c>
      <c r="V291" t="str">
        <f t="shared" si="21"/>
        <v>Normal</v>
      </c>
      <c r="W291" t="str">
        <f t="shared" si="22"/>
        <v>Stable</v>
      </c>
      <c r="X291" t="str">
        <f t="shared" si="23"/>
        <v>Low</v>
      </c>
      <c r="Y291">
        <f t="shared" si="24"/>
        <v>51</v>
      </c>
    </row>
    <row r="292" spans="1:25">
      <c r="A292" t="s">
        <v>54</v>
      </c>
      <c r="B292">
        <v>86</v>
      </c>
      <c r="C292">
        <v>415</v>
      </c>
      <c r="D292" t="s">
        <v>21</v>
      </c>
      <c r="E292" t="s">
        <v>21</v>
      </c>
      <c r="F292">
        <v>0</v>
      </c>
      <c r="G292">
        <v>223.9</v>
      </c>
      <c r="H292">
        <v>75</v>
      </c>
      <c r="I292">
        <v>38.06</v>
      </c>
      <c r="J292">
        <v>155.69999999999999</v>
      </c>
      <c r="K292">
        <v>109</v>
      </c>
      <c r="L292">
        <v>13.23</v>
      </c>
      <c r="M292">
        <v>150.19999999999999</v>
      </c>
      <c r="N292">
        <v>143</v>
      </c>
      <c r="O292">
        <v>6.76</v>
      </c>
      <c r="P292">
        <v>7.3</v>
      </c>
      <c r="Q292">
        <v>9</v>
      </c>
      <c r="R292">
        <v>1.97</v>
      </c>
      <c r="S292">
        <v>1</v>
      </c>
      <c r="T292" t="b">
        <v>0</v>
      </c>
      <c r="U292" t="str">
        <f t="shared" si="20"/>
        <v>High Usage</v>
      </c>
      <c r="V292" t="str">
        <f t="shared" si="21"/>
        <v>Normal</v>
      </c>
      <c r="W292" t="str">
        <f t="shared" si="22"/>
        <v>Stable</v>
      </c>
      <c r="X292" t="str">
        <f t="shared" si="23"/>
        <v>Low</v>
      </c>
      <c r="Y292">
        <f t="shared" si="24"/>
        <v>86</v>
      </c>
    </row>
    <row r="293" spans="1:25">
      <c r="A293" t="s">
        <v>68</v>
      </c>
      <c r="B293">
        <v>190</v>
      </c>
      <c r="C293">
        <v>415</v>
      </c>
      <c r="D293" t="s">
        <v>21</v>
      </c>
      <c r="E293" t="s">
        <v>21</v>
      </c>
      <c r="F293">
        <v>0</v>
      </c>
      <c r="G293">
        <v>169.4</v>
      </c>
      <c r="H293">
        <v>102</v>
      </c>
      <c r="I293">
        <v>28.8</v>
      </c>
      <c r="J293">
        <v>253.5</v>
      </c>
      <c r="K293">
        <v>113</v>
      </c>
      <c r="L293">
        <v>21.55</v>
      </c>
      <c r="M293">
        <v>197.1</v>
      </c>
      <c r="N293">
        <v>93</v>
      </c>
      <c r="O293">
        <v>8.8699999999999992</v>
      </c>
      <c r="P293">
        <v>8.9</v>
      </c>
      <c r="Q293">
        <v>5</v>
      </c>
      <c r="R293">
        <v>2.4</v>
      </c>
      <c r="S293">
        <v>1</v>
      </c>
      <c r="T293" t="b">
        <v>0</v>
      </c>
      <c r="U293" t="str">
        <f t="shared" si="20"/>
        <v>Normal Usage</v>
      </c>
      <c r="V293" t="str">
        <f t="shared" si="21"/>
        <v>Normal</v>
      </c>
      <c r="W293" t="str">
        <f t="shared" si="22"/>
        <v>Stable</v>
      </c>
      <c r="X293" t="str">
        <f t="shared" si="23"/>
        <v>Low</v>
      </c>
      <c r="Y293">
        <f t="shared" si="24"/>
        <v>190</v>
      </c>
    </row>
    <row r="294" spans="1:25">
      <c r="A294" t="s">
        <v>56</v>
      </c>
      <c r="B294">
        <v>80</v>
      </c>
      <c r="C294">
        <v>408</v>
      </c>
      <c r="D294" t="s">
        <v>21</v>
      </c>
      <c r="E294" t="s">
        <v>21</v>
      </c>
      <c r="F294">
        <v>0</v>
      </c>
      <c r="G294">
        <v>118.1</v>
      </c>
      <c r="H294">
        <v>90</v>
      </c>
      <c r="I294">
        <v>20.079999999999998</v>
      </c>
      <c r="J294">
        <v>144.30000000000001</v>
      </c>
      <c r="K294">
        <v>77</v>
      </c>
      <c r="L294">
        <v>12.27</v>
      </c>
      <c r="M294">
        <v>225.1</v>
      </c>
      <c r="N294">
        <v>86</v>
      </c>
      <c r="O294">
        <v>10.130000000000001</v>
      </c>
      <c r="P294">
        <v>8.1999999999999993</v>
      </c>
      <c r="Q294">
        <v>6</v>
      </c>
      <c r="R294">
        <v>2.21</v>
      </c>
      <c r="S294">
        <v>1</v>
      </c>
      <c r="T294" t="b">
        <v>0</v>
      </c>
      <c r="U294" t="str">
        <f t="shared" si="20"/>
        <v>Normal Usage</v>
      </c>
      <c r="V294" t="str">
        <f t="shared" si="21"/>
        <v>Normal</v>
      </c>
      <c r="W294" t="str">
        <f t="shared" si="22"/>
        <v>Stable</v>
      </c>
      <c r="X294" t="str">
        <f t="shared" si="23"/>
        <v>Low</v>
      </c>
      <c r="Y294">
        <f t="shared" si="24"/>
        <v>80</v>
      </c>
    </row>
    <row r="295" spans="1:25">
      <c r="A295" t="s">
        <v>43</v>
      </c>
      <c r="B295">
        <v>36</v>
      </c>
      <c r="C295">
        <v>415</v>
      </c>
      <c r="D295" t="s">
        <v>21</v>
      </c>
      <c r="E295" t="s">
        <v>21</v>
      </c>
      <c r="F295">
        <v>0</v>
      </c>
      <c r="G295">
        <v>202.4</v>
      </c>
      <c r="H295">
        <v>115</v>
      </c>
      <c r="I295">
        <v>34.409999999999997</v>
      </c>
      <c r="J295">
        <v>230.7</v>
      </c>
      <c r="K295">
        <v>115</v>
      </c>
      <c r="L295">
        <v>19.61</v>
      </c>
      <c r="M295">
        <v>202</v>
      </c>
      <c r="N295">
        <v>127</v>
      </c>
      <c r="O295">
        <v>9.09</v>
      </c>
      <c r="P295">
        <v>10.199999999999999</v>
      </c>
      <c r="Q295">
        <v>2</v>
      </c>
      <c r="R295">
        <v>2.75</v>
      </c>
      <c r="S295">
        <v>3</v>
      </c>
      <c r="T295" t="b">
        <v>0</v>
      </c>
      <c r="U295" t="str">
        <f t="shared" si="20"/>
        <v>High Usage</v>
      </c>
      <c r="V295" t="str">
        <f t="shared" si="21"/>
        <v>Normal</v>
      </c>
      <c r="W295" t="str">
        <f t="shared" si="22"/>
        <v>Stable</v>
      </c>
      <c r="X295" t="str">
        <f t="shared" si="23"/>
        <v>Medium</v>
      </c>
      <c r="Y295">
        <f t="shared" si="24"/>
        <v>36</v>
      </c>
    </row>
    <row r="296" spans="1:25">
      <c r="A296" t="s">
        <v>64</v>
      </c>
      <c r="B296">
        <v>45</v>
      </c>
      <c r="C296">
        <v>510</v>
      </c>
      <c r="D296" t="s">
        <v>21</v>
      </c>
      <c r="E296" t="s">
        <v>21</v>
      </c>
      <c r="F296">
        <v>0</v>
      </c>
      <c r="G296">
        <v>155.69999999999999</v>
      </c>
      <c r="H296">
        <v>110</v>
      </c>
      <c r="I296">
        <v>26.47</v>
      </c>
      <c r="J296">
        <v>260.3</v>
      </c>
      <c r="K296">
        <v>103</v>
      </c>
      <c r="L296">
        <v>22.13</v>
      </c>
      <c r="M296">
        <v>192.2</v>
      </c>
      <c r="N296">
        <v>98</v>
      </c>
      <c r="O296">
        <v>8.65</v>
      </c>
      <c r="P296">
        <v>11</v>
      </c>
      <c r="Q296">
        <v>1</v>
      </c>
      <c r="R296">
        <v>2.97</v>
      </c>
      <c r="S296">
        <v>1</v>
      </c>
      <c r="T296" t="b">
        <v>0</v>
      </c>
      <c r="U296" t="str">
        <f t="shared" si="20"/>
        <v>Normal Usage</v>
      </c>
      <c r="V296" t="str">
        <f t="shared" si="21"/>
        <v>Normal</v>
      </c>
      <c r="W296" t="str">
        <f t="shared" si="22"/>
        <v>Stable</v>
      </c>
      <c r="X296" t="str">
        <f t="shared" si="23"/>
        <v>Low</v>
      </c>
      <c r="Y296">
        <f t="shared" si="24"/>
        <v>45</v>
      </c>
    </row>
    <row r="297" spans="1:25">
      <c r="A297" t="s">
        <v>53</v>
      </c>
      <c r="B297">
        <v>170</v>
      </c>
      <c r="C297">
        <v>415</v>
      </c>
      <c r="D297" t="s">
        <v>21</v>
      </c>
      <c r="E297" t="s">
        <v>21</v>
      </c>
      <c r="F297">
        <v>0</v>
      </c>
      <c r="G297">
        <v>246.4</v>
      </c>
      <c r="H297">
        <v>107</v>
      </c>
      <c r="I297">
        <v>41.89</v>
      </c>
      <c r="J297">
        <v>228.1</v>
      </c>
      <c r="K297">
        <v>124</v>
      </c>
      <c r="L297">
        <v>19.39</v>
      </c>
      <c r="M297">
        <v>166.4</v>
      </c>
      <c r="N297">
        <v>95</v>
      </c>
      <c r="O297">
        <v>7.49</v>
      </c>
      <c r="P297">
        <v>9.1</v>
      </c>
      <c r="Q297">
        <v>8</v>
      </c>
      <c r="R297">
        <v>2.46</v>
      </c>
      <c r="S297">
        <v>0</v>
      </c>
      <c r="T297" t="b">
        <v>0</v>
      </c>
      <c r="U297" t="str">
        <f t="shared" si="20"/>
        <v>High Usage</v>
      </c>
      <c r="V297" t="str">
        <f t="shared" si="21"/>
        <v>Normal</v>
      </c>
      <c r="W297" t="str">
        <f t="shared" si="22"/>
        <v>Stable</v>
      </c>
      <c r="X297" t="str">
        <f t="shared" si="23"/>
        <v>Low</v>
      </c>
      <c r="Y297">
        <f t="shared" si="24"/>
        <v>170</v>
      </c>
    </row>
    <row r="298" spans="1:25">
      <c r="A298" t="s">
        <v>59</v>
      </c>
      <c r="B298">
        <v>103</v>
      </c>
      <c r="C298">
        <v>415</v>
      </c>
      <c r="D298" t="s">
        <v>21</v>
      </c>
      <c r="E298" t="s">
        <v>21</v>
      </c>
      <c r="F298">
        <v>0</v>
      </c>
      <c r="G298">
        <v>189.8</v>
      </c>
      <c r="H298">
        <v>110</v>
      </c>
      <c r="I298">
        <v>32.270000000000003</v>
      </c>
      <c r="J298">
        <v>115.5</v>
      </c>
      <c r="K298">
        <v>83</v>
      </c>
      <c r="L298">
        <v>9.82</v>
      </c>
      <c r="M298">
        <v>191.3</v>
      </c>
      <c r="N298">
        <v>103</v>
      </c>
      <c r="O298">
        <v>8.61</v>
      </c>
      <c r="P298">
        <v>12.2</v>
      </c>
      <c r="Q298">
        <v>4</v>
      </c>
      <c r="R298">
        <v>3.29</v>
      </c>
      <c r="S298">
        <v>0</v>
      </c>
      <c r="T298" t="b">
        <v>0</v>
      </c>
      <c r="U298" t="str">
        <f t="shared" si="20"/>
        <v>Normal Usage</v>
      </c>
      <c r="V298" t="str">
        <f t="shared" si="21"/>
        <v>Normal</v>
      </c>
      <c r="W298" t="str">
        <f t="shared" si="22"/>
        <v>Stable</v>
      </c>
      <c r="X298" t="str">
        <f t="shared" si="23"/>
        <v>Low</v>
      </c>
      <c r="Y298">
        <f t="shared" si="24"/>
        <v>103</v>
      </c>
    </row>
    <row r="299" spans="1:25">
      <c r="A299" t="s">
        <v>31</v>
      </c>
      <c r="B299">
        <v>112</v>
      </c>
      <c r="C299">
        <v>408</v>
      </c>
      <c r="D299" t="s">
        <v>21</v>
      </c>
      <c r="E299" t="s">
        <v>21</v>
      </c>
      <c r="F299">
        <v>0</v>
      </c>
      <c r="G299">
        <v>167.8</v>
      </c>
      <c r="H299">
        <v>88</v>
      </c>
      <c r="I299">
        <v>28.53</v>
      </c>
      <c r="J299">
        <v>247.9</v>
      </c>
      <c r="K299">
        <v>81</v>
      </c>
      <c r="L299">
        <v>21.07</v>
      </c>
      <c r="M299">
        <v>155.1</v>
      </c>
      <c r="N299">
        <v>108</v>
      </c>
      <c r="O299">
        <v>6.98</v>
      </c>
      <c r="P299">
        <v>11.9</v>
      </c>
      <c r="Q299">
        <v>4</v>
      </c>
      <c r="R299">
        <v>3.21</v>
      </c>
      <c r="S299">
        <v>0</v>
      </c>
      <c r="T299" t="b">
        <v>0</v>
      </c>
      <c r="U299" t="str">
        <f t="shared" si="20"/>
        <v>Normal Usage</v>
      </c>
      <c r="V299" t="str">
        <f t="shared" si="21"/>
        <v>Normal</v>
      </c>
      <c r="W299" t="str">
        <f t="shared" si="22"/>
        <v>Stable</v>
      </c>
      <c r="X299" t="str">
        <f t="shared" si="23"/>
        <v>Low</v>
      </c>
      <c r="Y299">
        <f t="shared" si="24"/>
        <v>112</v>
      </c>
    </row>
    <row r="300" spans="1:25">
      <c r="A300" t="s">
        <v>34</v>
      </c>
      <c r="B300">
        <v>125</v>
      </c>
      <c r="C300">
        <v>510</v>
      </c>
      <c r="D300" t="s">
        <v>21</v>
      </c>
      <c r="E300" t="s">
        <v>21</v>
      </c>
      <c r="F300">
        <v>0</v>
      </c>
      <c r="G300">
        <v>143.19999999999999</v>
      </c>
      <c r="H300">
        <v>80</v>
      </c>
      <c r="I300">
        <v>24.34</v>
      </c>
      <c r="J300">
        <v>88.1</v>
      </c>
      <c r="K300">
        <v>94</v>
      </c>
      <c r="L300">
        <v>7.49</v>
      </c>
      <c r="M300">
        <v>233.2</v>
      </c>
      <c r="N300">
        <v>135</v>
      </c>
      <c r="O300">
        <v>10.49</v>
      </c>
      <c r="P300">
        <v>8.8000000000000007</v>
      </c>
      <c r="Q300">
        <v>7</v>
      </c>
      <c r="R300">
        <v>2.38</v>
      </c>
      <c r="S300">
        <v>4</v>
      </c>
      <c r="T300" t="b">
        <v>1</v>
      </c>
      <c r="U300" t="str">
        <f t="shared" si="20"/>
        <v>Normal Usage</v>
      </c>
      <c r="V300" t="str">
        <f t="shared" si="21"/>
        <v>Normal</v>
      </c>
      <c r="W300" t="str">
        <f t="shared" si="22"/>
        <v>Potential Churn</v>
      </c>
      <c r="X300" t="str">
        <f t="shared" si="23"/>
        <v>Medium</v>
      </c>
      <c r="Y300">
        <f t="shared" si="24"/>
        <v>125</v>
      </c>
    </row>
    <row r="301" spans="1:25">
      <c r="A301" t="s">
        <v>49</v>
      </c>
      <c r="B301">
        <v>73</v>
      </c>
      <c r="C301">
        <v>415</v>
      </c>
      <c r="D301" t="s">
        <v>21</v>
      </c>
      <c r="E301" t="s">
        <v>27</v>
      </c>
      <c r="F301">
        <v>31</v>
      </c>
      <c r="G301">
        <v>82.3</v>
      </c>
      <c r="H301">
        <v>105</v>
      </c>
      <c r="I301">
        <v>13.99</v>
      </c>
      <c r="J301">
        <v>256.10000000000002</v>
      </c>
      <c r="K301">
        <v>91</v>
      </c>
      <c r="L301">
        <v>21.77</v>
      </c>
      <c r="M301">
        <v>229.6</v>
      </c>
      <c r="N301">
        <v>98</v>
      </c>
      <c r="O301">
        <v>10.33</v>
      </c>
      <c r="P301">
        <v>11.8</v>
      </c>
      <c r="Q301">
        <v>2</v>
      </c>
      <c r="R301">
        <v>3.19</v>
      </c>
      <c r="S301">
        <v>6</v>
      </c>
      <c r="T301" t="b">
        <v>1</v>
      </c>
      <c r="U301" t="str">
        <f t="shared" si="20"/>
        <v>Normal Usage</v>
      </c>
      <c r="V301" t="str">
        <f t="shared" si="21"/>
        <v>Normal</v>
      </c>
      <c r="W301" t="str">
        <f t="shared" si="22"/>
        <v>Potential Churn</v>
      </c>
      <c r="X301" t="str">
        <f t="shared" si="23"/>
        <v>Critical</v>
      </c>
      <c r="Y301">
        <f t="shared" si="24"/>
        <v>73</v>
      </c>
    </row>
    <row r="302" spans="1:25">
      <c r="A302" t="s">
        <v>46</v>
      </c>
      <c r="B302">
        <v>232</v>
      </c>
      <c r="C302">
        <v>408</v>
      </c>
      <c r="D302" t="s">
        <v>21</v>
      </c>
      <c r="E302" t="s">
        <v>21</v>
      </c>
      <c r="F302">
        <v>0</v>
      </c>
      <c r="G302">
        <v>165.6</v>
      </c>
      <c r="H302">
        <v>104</v>
      </c>
      <c r="I302">
        <v>28.15</v>
      </c>
      <c r="J302">
        <v>195.9</v>
      </c>
      <c r="K302">
        <v>115</v>
      </c>
      <c r="L302">
        <v>16.649999999999999</v>
      </c>
      <c r="M302">
        <v>118.3</v>
      </c>
      <c r="N302">
        <v>77</v>
      </c>
      <c r="O302">
        <v>5.32</v>
      </c>
      <c r="P302">
        <v>11.8</v>
      </c>
      <c r="Q302">
        <v>3</v>
      </c>
      <c r="R302">
        <v>3.19</v>
      </c>
      <c r="S302">
        <v>1</v>
      </c>
      <c r="T302" t="b">
        <v>0</v>
      </c>
      <c r="U302" t="str">
        <f t="shared" si="20"/>
        <v>Normal Usage</v>
      </c>
      <c r="V302" t="str">
        <f t="shared" si="21"/>
        <v>Normal</v>
      </c>
      <c r="W302" t="str">
        <f t="shared" si="22"/>
        <v>Stable</v>
      </c>
      <c r="X302" t="str">
        <f t="shared" si="23"/>
        <v>Low</v>
      </c>
      <c r="Y302">
        <f t="shared" si="24"/>
        <v>232</v>
      </c>
    </row>
    <row r="303" spans="1:25">
      <c r="A303" t="s">
        <v>54</v>
      </c>
      <c r="B303">
        <v>95</v>
      </c>
      <c r="C303">
        <v>408</v>
      </c>
      <c r="D303" t="s">
        <v>21</v>
      </c>
      <c r="E303" t="s">
        <v>27</v>
      </c>
      <c r="F303">
        <v>20</v>
      </c>
      <c r="G303">
        <v>165.7</v>
      </c>
      <c r="H303">
        <v>78</v>
      </c>
      <c r="I303">
        <v>28.17</v>
      </c>
      <c r="J303">
        <v>215.6</v>
      </c>
      <c r="K303">
        <v>94</v>
      </c>
      <c r="L303">
        <v>18.329999999999998</v>
      </c>
      <c r="M303">
        <v>243.3</v>
      </c>
      <c r="N303">
        <v>91</v>
      </c>
      <c r="O303">
        <v>10.95</v>
      </c>
      <c r="P303">
        <v>9.8000000000000007</v>
      </c>
      <c r="Q303">
        <v>6</v>
      </c>
      <c r="R303">
        <v>2.65</v>
      </c>
      <c r="S303">
        <v>0</v>
      </c>
      <c r="T303" t="b">
        <v>0</v>
      </c>
      <c r="U303" t="str">
        <f t="shared" si="20"/>
        <v>Normal Usage</v>
      </c>
      <c r="V303" t="str">
        <f t="shared" si="21"/>
        <v>Normal</v>
      </c>
      <c r="W303" t="str">
        <f t="shared" si="22"/>
        <v>Stable</v>
      </c>
      <c r="X303" t="str">
        <f t="shared" si="23"/>
        <v>Low</v>
      </c>
      <c r="Y303">
        <f t="shared" si="24"/>
        <v>95</v>
      </c>
    </row>
    <row r="304" spans="1:25">
      <c r="A304" t="s">
        <v>30</v>
      </c>
      <c r="B304">
        <v>182</v>
      </c>
      <c r="C304">
        <v>415</v>
      </c>
      <c r="D304" t="s">
        <v>21</v>
      </c>
      <c r="E304" t="s">
        <v>21</v>
      </c>
      <c r="F304">
        <v>0</v>
      </c>
      <c r="G304">
        <v>176.1</v>
      </c>
      <c r="H304">
        <v>90</v>
      </c>
      <c r="I304">
        <v>29.94</v>
      </c>
      <c r="J304">
        <v>174.9</v>
      </c>
      <c r="K304">
        <v>106</v>
      </c>
      <c r="L304">
        <v>14.87</v>
      </c>
      <c r="M304">
        <v>234.7</v>
      </c>
      <c r="N304">
        <v>134</v>
      </c>
      <c r="O304">
        <v>10.56</v>
      </c>
      <c r="P304">
        <v>9.6999999999999993</v>
      </c>
      <c r="Q304">
        <v>4</v>
      </c>
      <c r="R304">
        <v>2.62</v>
      </c>
      <c r="S304">
        <v>1</v>
      </c>
      <c r="T304" t="b">
        <v>0</v>
      </c>
      <c r="U304" t="str">
        <f t="shared" si="20"/>
        <v>Normal Usage</v>
      </c>
      <c r="V304" t="str">
        <f t="shared" si="21"/>
        <v>Normal</v>
      </c>
      <c r="W304" t="str">
        <f t="shared" si="22"/>
        <v>Stable</v>
      </c>
      <c r="X304" t="str">
        <f t="shared" si="23"/>
        <v>Low</v>
      </c>
      <c r="Y304">
        <f t="shared" si="24"/>
        <v>182</v>
      </c>
    </row>
    <row r="305" spans="1:25">
      <c r="A305" t="s">
        <v>46</v>
      </c>
      <c r="B305">
        <v>55</v>
      </c>
      <c r="C305">
        <v>510</v>
      </c>
      <c r="D305" t="s">
        <v>21</v>
      </c>
      <c r="E305" t="s">
        <v>21</v>
      </c>
      <c r="F305">
        <v>0</v>
      </c>
      <c r="G305">
        <v>119.7</v>
      </c>
      <c r="H305">
        <v>148</v>
      </c>
      <c r="I305">
        <v>20.350000000000001</v>
      </c>
      <c r="J305">
        <v>231.8</v>
      </c>
      <c r="K305">
        <v>96</v>
      </c>
      <c r="L305">
        <v>19.7</v>
      </c>
      <c r="M305">
        <v>222.3</v>
      </c>
      <c r="N305">
        <v>113</v>
      </c>
      <c r="O305">
        <v>10</v>
      </c>
      <c r="P305">
        <v>4.5999999999999996</v>
      </c>
      <c r="Q305">
        <v>2</v>
      </c>
      <c r="R305">
        <v>1.24</v>
      </c>
      <c r="S305">
        <v>2</v>
      </c>
      <c r="T305" t="b">
        <v>0</v>
      </c>
      <c r="U305" t="str">
        <f t="shared" si="20"/>
        <v>Normal Usage</v>
      </c>
      <c r="V305" t="str">
        <f t="shared" si="21"/>
        <v>Normal</v>
      </c>
      <c r="W305" t="str">
        <f t="shared" si="22"/>
        <v>Stable</v>
      </c>
      <c r="X305" t="str">
        <f t="shared" si="23"/>
        <v>Low</v>
      </c>
      <c r="Y305">
        <f t="shared" si="24"/>
        <v>55</v>
      </c>
    </row>
    <row r="306" spans="1:25">
      <c r="A306" t="s">
        <v>30</v>
      </c>
      <c r="B306">
        <v>86</v>
      </c>
      <c r="C306">
        <v>415</v>
      </c>
      <c r="D306" t="s">
        <v>21</v>
      </c>
      <c r="E306" t="s">
        <v>27</v>
      </c>
      <c r="F306">
        <v>30</v>
      </c>
      <c r="G306">
        <v>99.9</v>
      </c>
      <c r="H306">
        <v>84</v>
      </c>
      <c r="I306">
        <v>16.98</v>
      </c>
      <c r="J306">
        <v>263.5</v>
      </c>
      <c r="K306">
        <v>125</v>
      </c>
      <c r="L306">
        <v>22.4</v>
      </c>
      <c r="M306">
        <v>254.7</v>
      </c>
      <c r="N306">
        <v>90</v>
      </c>
      <c r="O306">
        <v>11.46</v>
      </c>
      <c r="P306">
        <v>9.8000000000000007</v>
      </c>
      <c r="Q306">
        <v>7</v>
      </c>
      <c r="R306">
        <v>2.65</v>
      </c>
      <c r="S306">
        <v>2</v>
      </c>
      <c r="T306" t="b">
        <v>0</v>
      </c>
      <c r="U306" t="str">
        <f t="shared" si="20"/>
        <v>Normal Usage</v>
      </c>
      <c r="V306" t="str">
        <f t="shared" si="21"/>
        <v>Normal</v>
      </c>
      <c r="W306" t="str">
        <f t="shared" si="22"/>
        <v>Stable</v>
      </c>
      <c r="X306" t="str">
        <f t="shared" si="23"/>
        <v>Low</v>
      </c>
      <c r="Y306">
        <f t="shared" si="24"/>
        <v>86</v>
      </c>
    </row>
    <row r="307" spans="1:25">
      <c r="A307" t="s">
        <v>64</v>
      </c>
      <c r="B307">
        <v>127</v>
      </c>
      <c r="C307">
        <v>510</v>
      </c>
      <c r="D307" t="s">
        <v>21</v>
      </c>
      <c r="E307" t="s">
        <v>21</v>
      </c>
      <c r="F307">
        <v>0</v>
      </c>
      <c r="G307">
        <v>239.8</v>
      </c>
      <c r="H307">
        <v>107</v>
      </c>
      <c r="I307">
        <v>40.770000000000003</v>
      </c>
      <c r="J307">
        <v>128.9</v>
      </c>
      <c r="K307">
        <v>121</v>
      </c>
      <c r="L307">
        <v>10.96</v>
      </c>
      <c r="M307">
        <v>249.9</v>
      </c>
      <c r="N307">
        <v>110</v>
      </c>
      <c r="O307">
        <v>11.25</v>
      </c>
      <c r="P307">
        <v>11.3</v>
      </c>
      <c r="Q307">
        <v>5</v>
      </c>
      <c r="R307">
        <v>3.05</v>
      </c>
      <c r="S307">
        <v>1</v>
      </c>
      <c r="T307" t="b">
        <v>0</v>
      </c>
      <c r="U307" t="str">
        <f t="shared" si="20"/>
        <v>High Usage</v>
      </c>
      <c r="V307" t="str">
        <f t="shared" si="21"/>
        <v>Normal</v>
      </c>
      <c r="W307" t="str">
        <f t="shared" si="22"/>
        <v>Stable</v>
      </c>
      <c r="X307" t="str">
        <f t="shared" si="23"/>
        <v>Low</v>
      </c>
      <c r="Y307">
        <f t="shared" si="24"/>
        <v>127</v>
      </c>
    </row>
    <row r="308" spans="1:25">
      <c r="A308" t="s">
        <v>70</v>
      </c>
      <c r="B308">
        <v>63</v>
      </c>
      <c r="C308">
        <v>415</v>
      </c>
      <c r="D308" t="s">
        <v>21</v>
      </c>
      <c r="E308" t="s">
        <v>21</v>
      </c>
      <c r="F308">
        <v>0</v>
      </c>
      <c r="G308">
        <v>164.5</v>
      </c>
      <c r="H308">
        <v>75</v>
      </c>
      <c r="I308">
        <v>27.97</v>
      </c>
      <c r="J308">
        <v>147.9</v>
      </c>
      <c r="K308">
        <v>118</v>
      </c>
      <c r="L308">
        <v>12.57</v>
      </c>
      <c r="M308">
        <v>252.7</v>
      </c>
      <c r="N308">
        <v>97</v>
      </c>
      <c r="O308">
        <v>11.37</v>
      </c>
      <c r="P308">
        <v>11.2</v>
      </c>
      <c r="Q308">
        <v>2</v>
      </c>
      <c r="R308">
        <v>3.02</v>
      </c>
      <c r="S308">
        <v>0</v>
      </c>
      <c r="T308" t="b">
        <v>0</v>
      </c>
      <c r="U308" t="str">
        <f t="shared" si="20"/>
        <v>Normal Usage</v>
      </c>
      <c r="V308" t="str">
        <f t="shared" si="21"/>
        <v>Normal</v>
      </c>
      <c r="W308" t="str">
        <f t="shared" si="22"/>
        <v>Stable</v>
      </c>
      <c r="X308" t="str">
        <f t="shared" si="23"/>
        <v>Low</v>
      </c>
      <c r="Y308">
        <f t="shared" si="24"/>
        <v>63</v>
      </c>
    </row>
    <row r="309" spans="1:25">
      <c r="A309" t="s">
        <v>28</v>
      </c>
      <c r="B309">
        <v>79</v>
      </c>
      <c r="C309">
        <v>510</v>
      </c>
      <c r="D309" t="s">
        <v>21</v>
      </c>
      <c r="E309" t="s">
        <v>21</v>
      </c>
      <c r="F309">
        <v>0</v>
      </c>
      <c r="G309">
        <v>220.9</v>
      </c>
      <c r="H309">
        <v>107</v>
      </c>
      <c r="I309">
        <v>37.549999999999997</v>
      </c>
      <c r="J309">
        <v>192.2</v>
      </c>
      <c r="K309">
        <v>97</v>
      </c>
      <c r="L309">
        <v>16.34</v>
      </c>
      <c r="M309">
        <v>161</v>
      </c>
      <c r="N309">
        <v>74</v>
      </c>
      <c r="O309">
        <v>7.25</v>
      </c>
      <c r="P309">
        <v>12.2</v>
      </c>
      <c r="Q309">
        <v>2</v>
      </c>
      <c r="R309">
        <v>3.29</v>
      </c>
      <c r="S309">
        <v>1</v>
      </c>
      <c r="T309" t="b">
        <v>0</v>
      </c>
      <c r="U309" t="str">
        <f t="shared" si="20"/>
        <v>High Usage</v>
      </c>
      <c r="V309" t="str">
        <f t="shared" si="21"/>
        <v>Normal</v>
      </c>
      <c r="W309" t="str">
        <f t="shared" si="22"/>
        <v>Stable</v>
      </c>
      <c r="X309" t="str">
        <f t="shared" si="23"/>
        <v>Low</v>
      </c>
      <c r="Y309">
        <f t="shared" si="24"/>
        <v>79</v>
      </c>
    </row>
    <row r="310" spans="1:25">
      <c r="A310" t="s">
        <v>20</v>
      </c>
      <c r="B310">
        <v>111</v>
      </c>
      <c r="C310">
        <v>415</v>
      </c>
      <c r="D310" t="s">
        <v>21</v>
      </c>
      <c r="E310" t="s">
        <v>27</v>
      </c>
      <c r="F310">
        <v>28</v>
      </c>
      <c r="G310">
        <v>128.80000000000001</v>
      </c>
      <c r="H310">
        <v>104</v>
      </c>
      <c r="I310">
        <v>21.9</v>
      </c>
      <c r="J310">
        <v>157.30000000000001</v>
      </c>
      <c r="K310">
        <v>52</v>
      </c>
      <c r="L310">
        <v>13.37</v>
      </c>
      <c r="M310">
        <v>147.4</v>
      </c>
      <c r="N310">
        <v>76</v>
      </c>
      <c r="O310">
        <v>6.63</v>
      </c>
      <c r="P310">
        <v>10.3</v>
      </c>
      <c r="Q310">
        <v>2</v>
      </c>
      <c r="R310">
        <v>2.78</v>
      </c>
      <c r="S310">
        <v>2</v>
      </c>
      <c r="T310" t="b">
        <v>0</v>
      </c>
      <c r="U310" t="str">
        <f t="shared" si="20"/>
        <v>Normal Usage</v>
      </c>
      <c r="V310" t="str">
        <f t="shared" si="21"/>
        <v>Normal</v>
      </c>
      <c r="W310" t="str">
        <f t="shared" si="22"/>
        <v>Stable</v>
      </c>
      <c r="X310" t="str">
        <f t="shared" si="23"/>
        <v>Low</v>
      </c>
      <c r="Y310">
        <f t="shared" si="24"/>
        <v>111</v>
      </c>
    </row>
    <row r="311" spans="1:25">
      <c r="A311" t="s">
        <v>45</v>
      </c>
      <c r="B311">
        <v>121</v>
      </c>
      <c r="C311">
        <v>510</v>
      </c>
      <c r="D311" t="s">
        <v>21</v>
      </c>
      <c r="E311" t="s">
        <v>27</v>
      </c>
      <c r="F311">
        <v>35</v>
      </c>
      <c r="G311">
        <v>193.8</v>
      </c>
      <c r="H311">
        <v>62</v>
      </c>
      <c r="I311">
        <v>32.950000000000003</v>
      </c>
      <c r="J311">
        <v>197.6</v>
      </c>
      <c r="K311">
        <v>97</v>
      </c>
      <c r="L311">
        <v>16.8</v>
      </c>
      <c r="M311">
        <v>218.8</v>
      </c>
      <c r="N311">
        <v>95</v>
      </c>
      <c r="O311">
        <v>9.85</v>
      </c>
      <c r="P311">
        <v>5.9</v>
      </c>
      <c r="Q311">
        <v>4</v>
      </c>
      <c r="R311">
        <v>1.59</v>
      </c>
      <c r="S311">
        <v>0</v>
      </c>
      <c r="T311" t="b">
        <v>0</v>
      </c>
      <c r="U311" t="str">
        <f t="shared" si="20"/>
        <v>Normal Usage</v>
      </c>
      <c r="V311" t="str">
        <f t="shared" si="21"/>
        <v>Normal</v>
      </c>
      <c r="W311" t="str">
        <f t="shared" si="22"/>
        <v>Stable</v>
      </c>
      <c r="X311" t="str">
        <f t="shared" si="23"/>
        <v>Low</v>
      </c>
      <c r="Y311">
        <f t="shared" si="24"/>
        <v>121</v>
      </c>
    </row>
    <row r="312" spans="1:25">
      <c r="A312" t="s">
        <v>57</v>
      </c>
      <c r="B312">
        <v>112</v>
      </c>
      <c r="C312">
        <v>415</v>
      </c>
      <c r="D312" t="s">
        <v>21</v>
      </c>
      <c r="E312" t="s">
        <v>21</v>
      </c>
      <c r="F312">
        <v>0</v>
      </c>
      <c r="G312">
        <v>168.6</v>
      </c>
      <c r="H312">
        <v>102</v>
      </c>
      <c r="I312">
        <v>28.66</v>
      </c>
      <c r="J312">
        <v>298</v>
      </c>
      <c r="K312">
        <v>117</v>
      </c>
      <c r="L312">
        <v>25.33</v>
      </c>
      <c r="M312">
        <v>194.7</v>
      </c>
      <c r="N312">
        <v>110</v>
      </c>
      <c r="O312">
        <v>8.76</v>
      </c>
      <c r="P312">
        <v>9.8000000000000007</v>
      </c>
      <c r="Q312">
        <v>5</v>
      </c>
      <c r="R312">
        <v>2.65</v>
      </c>
      <c r="S312">
        <v>1</v>
      </c>
      <c r="T312" t="b">
        <v>0</v>
      </c>
      <c r="U312" t="str">
        <f t="shared" si="20"/>
        <v>Normal Usage</v>
      </c>
      <c r="V312" t="str">
        <f t="shared" si="21"/>
        <v>Normal</v>
      </c>
      <c r="W312" t="str">
        <f t="shared" si="22"/>
        <v>Stable</v>
      </c>
      <c r="X312" t="str">
        <f t="shared" si="23"/>
        <v>Low</v>
      </c>
      <c r="Y312">
        <f t="shared" si="24"/>
        <v>112</v>
      </c>
    </row>
    <row r="313" spans="1:25">
      <c r="A313" t="s">
        <v>20</v>
      </c>
      <c r="B313">
        <v>81</v>
      </c>
      <c r="C313">
        <v>415</v>
      </c>
      <c r="D313" t="s">
        <v>21</v>
      </c>
      <c r="E313" t="s">
        <v>27</v>
      </c>
      <c r="F313">
        <v>36</v>
      </c>
      <c r="G313">
        <v>115.9</v>
      </c>
      <c r="H313">
        <v>120</v>
      </c>
      <c r="I313">
        <v>19.7</v>
      </c>
      <c r="J313">
        <v>236.6</v>
      </c>
      <c r="K313">
        <v>95</v>
      </c>
      <c r="L313">
        <v>20.11</v>
      </c>
      <c r="M313">
        <v>255</v>
      </c>
      <c r="N313">
        <v>90</v>
      </c>
      <c r="O313">
        <v>11.48</v>
      </c>
      <c r="P313">
        <v>11.7</v>
      </c>
      <c r="Q313">
        <v>6</v>
      </c>
      <c r="R313">
        <v>3.16</v>
      </c>
      <c r="S313">
        <v>3</v>
      </c>
      <c r="T313" t="b">
        <v>0</v>
      </c>
      <c r="U313" t="str">
        <f t="shared" si="20"/>
        <v>Normal Usage</v>
      </c>
      <c r="V313" t="str">
        <f t="shared" si="21"/>
        <v>Normal</v>
      </c>
      <c r="W313" t="str">
        <f t="shared" si="22"/>
        <v>Stable</v>
      </c>
      <c r="X313" t="str">
        <f t="shared" si="23"/>
        <v>Medium</v>
      </c>
      <c r="Y313">
        <f t="shared" si="24"/>
        <v>81</v>
      </c>
    </row>
    <row r="314" spans="1:25">
      <c r="A314" t="s">
        <v>38</v>
      </c>
      <c r="B314">
        <v>72</v>
      </c>
      <c r="C314">
        <v>510</v>
      </c>
      <c r="D314" t="s">
        <v>21</v>
      </c>
      <c r="E314" t="s">
        <v>21</v>
      </c>
      <c r="F314">
        <v>0</v>
      </c>
      <c r="G314">
        <v>272.39999999999998</v>
      </c>
      <c r="H314">
        <v>88</v>
      </c>
      <c r="I314">
        <v>46.31</v>
      </c>
      <c r="J314">
        <v>107.9</v>
      </c>
      <c r="K314">
        <v>125</v>
      </c>
      <c r="L314">
        <v>9.17</v>
      </c>
      <c r="M314">
        <v>185.5</v>
      </c>
      <c r="N314">
        <v>81</v>
      </c>
      <c r="O314">
        <v>8.35</v>
      </c>
      <c r="P314">
        <v>12.7</v>
      </c>
      <c r="Q314">
        <v>2</v>
      </c>
      <c r="R314">
        <v>3.43</v>
      </c>
      <c r="S314">
        <v>0</v>
      </c>
      <c r="T314" t="b">
        <v>0</v>
      </c>
      <c r="U314" t="str">
        <f t="shared" si="20"/>
        <v>High Usage</v>
      </c>
      <c r="V314" t="str">
        <f t="shared" si="21"/>
        <v>Normal</v>
      </c>
      <c r="W314" t="str">
        <f t="shared" si="22"/>
        <v>Potential Churn</v>
      </c>
      <c r="X314" t="str">
        <f t="shared" si="23"/>
        <v>Low</v>
      </c>
      <c r="Y314">
        <f t="shared" si="24"/>
        <v>72</v>
      </c>
    </row>
    <row r="315" spans="1:25">
      <c r="A315" t="s">
        <v>24</v>
      </c>
      <c r="B315">
        <v>64</v>
      </c>
      <c r="C315">
        <v>510</v>
      </c>
      <c r="D315" t="s">
        <v>21</v>
      </c>
      <c r="E315" t="s">
        <v>27</v>
      </c>
      <c r="F315">
        <v>40</v>
      </c>
      <c r="G315">
        <v>210</v>
      </c>
      <c r="H315">
        <v>116</v>
      </c>
      <c r="I315">
        <v>35.700000000000003</v>
      </c>
      <c r="J315">
        <v>232.7</v>
      </c>
      <c r="K315">
        <v>89</v>
      </c>
      <c r="L315">
        <v>19.78</v>
      </c>
      <c r="M315">
        <v>168.8</v>
      </c>
      <c r="N315">
        <v>94</v>
      </c>
      <c r="O315">
        <v>7.6</v>
      </c>
      <c r="P315">
        <v>5.9</v>
      </c>
      <c r="Q315">
        <v>4</v>
      </c>
      <c r="R315">
        <v>1.59</v>
      </c>
      <c r="S315">
        <v>8</v>
      </c>
      <c r="T315" t="b">
        <v>0</v>
      </c>
      <c r="U315" t="str">
        <f t="shared" si="20"/>
        <v>High Usage</v>
      </c>
      <c r="V315" t="str">
        <f t="shared" si="21"/>
        <v>Normal</v>
      </c>
      <c r="W315" t="str">
        <f t="shared" si="22"/>
        <v>Potential Churn</v>
      </c>
      <c r="X315" t="str">
        <f t="shared" si="23"/>
        <v>Critical</v>
      </c>
      <c r="Y315">
        <f t="shared" si="24"/>
        <v>64</v>
      </c>
    </row>
    <row r="316" spans="1:25">
      <c r="A316" t="s">
        <v>65</v>
      </c>
      <c r="B316">
        <v>163</v>
      </c>
      <c r="C316">
        <v>408</v>
      </c>
      <c r="D316" t="s">
        <v>21</v>
      </c>
      <c r="E316" t="s">
        <v>21</v>
      </c>
      <c r="F316">
        <v>0</v>
      </c>
      <c r="G316">
        <v>223</v>
      </c>
      <c r="H316">
        <v>120</v>
      </c>
      <c r="I316">
        <v>37.909999999999997</v>
      </c>
      <c r="J316">
        <v>227</v>
      </c>
      <c r="K316">
        <v>98</v>
      </c>
      <c r="L316">
        <v>19.3</v>
      </c>
      <c r="M316">
        <v>188.3</v>
      </c>
      <c r="N316">
        <v>125</v>
      </c>
      <c r="O316">
        <v>8.4700000000000006</v>
      </c>
      <c r="P316">
        <v>8.8000000000000007</v>
      </c>
      <c r="Q316">
        <v>5</v>
      </c>
      <c r="R316">
        <v>2.38</v>
      </c>
      <c r="S316">
        <v>1</v>
      </c>
      <c r="T316" t="b">
        <v>0</v>
      </c>
      <c r="U316" t="str">
        <f t="shared" si="20"/>
        <v>High Usage</v>
      </c>
      <c r="V316" t="str">
        <f t="shared" si="21"/>
        <v>Normal</v>
      </c>
      <c r="W316" t="str">
        <f t="shared" si="22"/>
        <v>Stable</v>
      </c>
      <c r="X316" t="str">
        <f t="shared" si="23"/>
        <v>Low</v>
      </c>
      <c r="Y316">
        <f t="shared" si="24"/>
        <v>163</v>
      </c>
    </row>
    <row r="317" spans="1:25">
      <c r="A317" t="s">
        <v>40</v>
      </c>
      <c r="B317">
        <v>104</v>
      </c>
      <c r="C317">
        <v>415</v>
      </c>
      <c r="D317" t="s">
        <v>21</v>
      </c>
      <c r="E317" t="s">
        <v>21</v>
      </c>
      <c r="F317">
        <v>0</v>
      </c>
      <c r="G317">
        <v>139.69999999999999</v>
      </c>
      <c r="H317">
        <v>78</v>
      </c>
      <c r="I317">
        <v>23.75</v>
      </c>
      <c r="J317">
        <v>202.6</v>
      </c>
      <c r="K317">
        <v>119</v>
      </c>
      <c r="L317">
        <v>17.22</v>
      </c>
      <c r="M317">
        <v>203.6</v>
      </c>
      <c r="N317">
        <v>102</v>
      </c>
      <c r="O317">
        <v>9.16</v>
      </c>
      <c r="P317">
        <v>11.3</v>
      </c>
      <c r="Q317">
        <v>5</v>
      </c>
      <c r="R317">
        <v>3.05</v>
      </c>
      <c r="S317">
        <v>2</v>
      </c>
      <c r="T317" t="b">
        <v>0</v>
      </c>
      <c r="U317" t="str">
        <f t="shared" si="20"/>
        <v>Normal Usage</v>
      </c>
      <c r="V317" t="str">
        <f t="shared" si="21"/>
        <v>Normal</v>
      </c>
      <c r="W317" t="str">
        <f t="shared" si="22"/>
        <v>Stable</v>
      </c>
      <c r="X317" t="str">
        <f t="shared" si="23"/>
        <v>Low</v>
      </c>
      <c r="Y317">
        <f t="shared" si="24"/>
        <v>104</v>
      </c>
    </row>
    <row r="318" spans="1:25">
      <c r="A318" t="s">
        <v>39</v>
      </c>
      <c r="B318">
        <v>93</v>
      </c>
      <c r="C318">
        <v>510</v>
      </c>
      <c r="D318" t="s">
        <v>21</v>
      </c>
      <c r="E318" t="s">
        <v>27</v>
      </c>
      <c r="F318">
        <v>19</v>
      </c>
      <c r="G318">
        <v>136.80000000000001</v>
      </c>
      <c r="H318">
        <v>113</v>
      </c>
      <c r="I318">
        <v>23.26</v>
      </c>
      <c r="J318">
        <v>179.5</v>
      </c>
      <c r="K318">
        <v>105</v>
      </c>
      <c r="L318">
        <v>15.26</v>
      </c>
      <c r="M318">
        <v>71.099999999999994</v>
      </c>
      <c r="N318">
        <v>95</v>
      </c>
      <c r="O318">
        <v>3.2</v>
      </c>
      <c r="P318">
        <v>12.5</v>
      </c>
      <c r="Q318">
        <v>3</v>
      </c>
      <c r="R318">
        <v>3.38</v>
      </c>
      <c r="S318">
        <v>2</v>
      </c>
      <c r="T318" t="b">
        <v>0</v>
      </c>
      <c r="U318" t="str">
        <f t="shared" si="20"/>
        <v>Normal Usage</v>
      </c>
      <c r="V318" t="str">
        <f t="shared" si="21"/>
        <v>Normal</v>
      </c>
      <c r="W318" t="str">
        <f t="shared" si="22"/>
        <v>Stable</v>
      </c>
      <c r="X318" t="str">
        <f t="shared" si="23"/>
        <v>Low</v>
      </c>
      <c r="Y318">
        <f t="shared" si="24"/>
        <v>93</v>
      </c>
    </row>
    <row r="319" spans="1:25">
      <c r="A319" t="s">
        <v>64</v>
      </c>
      <c r="B319">
        <v>197</v>
      </c>
      <c r="C319">
        <v>510</v>
      </c>
      <c r="D319" t="s">
        <v>21</v>
      </c>
      <c r="E319" t="s">
        <v>21</v>
      </c>
      <c r="F319">
        <v>0</v>
      </c>
      <c r="G319">
        <v>154.80000000000001</v>
      </c>
      <c r="H319">
        <v>111</v>
      </c>
      <c r="I319">
        <v>26.32</v>
      </c>
      <c r="J319">
        <v>171.5</v>
      </c>
      <c r="K319">
        <v>102</v>
      </c>
      <c r="L319">
        <v>14.58</v>
      </c>
      <c r="M319">
        <v>227.3</v>
      </c>
      <c r="N319">
        <v>86</v>
      </c>
      <c r="O319">
        <v>10.23</v>
      </c>
      <c r="P319">
        <v>10.6</v>
      </c>
      <c r="Q319">
        <v>2</v>
      </c>
      <c r="R319">
        <v>2.86</v>
      </c>
      <c r="S319">
        <v>3</v>
      </c>
      <c r="T319" t="b">
        <v>0</v>
      </c>
      <c r="U319" t="str">
        <f t="shared" si="20"/>
        <v>Normal Usage</v>
      </c>
      <c r="V319" t="str">
        <f t="shared" si="21"/>
        <v>Normal</v>
      </c>
      <c r="W319" t="str">
        <f t="shared" si="22"/>
        <v>Stable</v>
      </c>
      <c r="X319" t="str">
        <f t="shared" si="23"/>
        <v>Medium</v>
      </c>
      <c r="Y319">
        <f t="shared" si="24"/>
        <v>197</v>
      </c>
    </row>
    <row r="320" spans="1:25">
      <c r="A320" t="s">
        <v>69</v>
      </c>
      <c r="B320">
        <v>57</v>
      </c>
      <c r="C320">
        <v>510</v>
      </c>
      <c r="D320" t="s">
        <v>21</v>
      </c>
      <c r="E320" t="s">
        <v>21</v>
      </c>
      <c r="F320">
        <v>0</v>
      </c>
      <c r="G320">
        <v>192.8</v>
      </c>
      <c r="H320">
        <v>68</v>
      </c>
      <c r="I320">
        <v>32.78</v>
      </c>
      <c r="J320">
        <v>158</v>
      </c>
      <c r="K320">
        <v>86</v>
      </c>
      <c r="L320">
        <v>13.43</v>
      </c>
      <c r="M320">
        <v>235.5</v>
      </c>
      <c r="N320">
        <v>105</v>
      </c>
      <c r="O320">
        <v>10.6</v>
      </c>
      <c r="P320">
        <v>12.7</v>
      </c>
      <c r="Q320">
        <v>6</v>
      </c>
      <c r="R320">
        <v>3.43</v>
      </c>
      <c r="S320">
        <v>1</v>
      </c>
      <c r="T320" t="b">
        <v>0</v>
      </c>
      <c r="U320" t="str">
        <f t="shared" si="20"/>
        <v>Normal Usage</v>
      </c>
      <c r="V320" t="str">
        <f t="shared" si="21"/>
        <v>Normal</v>
      </c>
      <c r="W320" t="str">
        <f t="shared" si="22"/>
        <v>Stable</v>
      </c>
      <c r="X320" t="str">
        <f t="shared" si="23"/>
        <v>Low</v>
      </c>
      <c r="Y320">
        <f t="shared" si="24"/>
        <v>57</v>
      </c>
    </row>
    <row r="321" spans="1:25">
      <c r="A321" t="s">
        <v>56</v>
      </c>
      <c r="B321">
        <v>107</v>
      </c>
      <c r="C321">
        <v>408</v>
      </c>
      <c r="D321" t="s">
        <v>21</v>
      </c>
      <c r="E321" t="s">
        <v>21</v>
      </c>
      <c r="F321">
        <v>0</v>
      </c>
      <c r="G321">
        <v>103.4</v>
      </c>
      <c r="H321">
        <v>94</v>
      </c>
      <c r="I321">
        <v>17.579999999999998</v>
      </c>
      <c r="J321">
        <v>189.3</v>
      </c>
      <c r="K321">
        <v>125</v>
      </c>
      <c r="L321">
        <v>16.09</v>
      </c>
      <c r="M321">
        <v>227.2</v>
      </c>
      <c r="N321">
        <v>125</v>
      </c>
      <c r="O321">
        <v>10.220000000000001</v>
      </c>
      <c r="P321">
        <v>14.4</v>
      </c>
      <c r="Q321">
        <v>3</v>
      </c>
      <c r="R321">
        <v>3.89</v>
      </c>
      <c r="S321">
        <v>1</v>
      </c>
      <c r="T321" t="b">
        <v>0</v>
      </c>
      <c r="U321" t="str">
        <f t="shared" si="20"/>
        <v>Normal Usage</v>
      </c>
      <c r="V321" t="str">
        <f t="shared" si="21"/>
        <v>Normal</v>
      </c>
      <c r="W321" t="str">
        <f t="shared" si="22"/>
        <v>Stable</v>
      </c>
      <c r="X321" t="str">
        <f t="shared" si="23"/>
        <v>Low</v>
      </c>
      <c r="Y321">
        <f t="shared" si="24"/>
        <v>107</v>
      </c>
    </row>
    <row r="322" spans="1:25">
      <c r="A322" t="s">
        <v>54</v>
      </c>
      <c r="B322">
        <v>75</v>
      </c>
      <c r="C322">
        <v>408</v>
      </c>
      <c r="D322" t="s">
        <v>21</v>
      </c>
      <c r="E322" t="s">
        <v>21</v>
      </c>
      <c r="F322">
        <v>0</v>
      </c>
      <c r="G322">
        <v>147.5</v>
      </c>
      <c r="H322">
        <v>110</v>
      </c>
      <c r="I322">
        <v>25.08</v>
      </c>
      <c r="J322">
        <v>191.7</v>
      </c>
      <c r="K322">
        <v>97</v>
      </c>
      <c r="L322">
        <v>16.29</v>
      </c>
      <c r="M322">
        <v>135</v>
      </c>
      <c r="N322">
        <v>68</v>
      </c>
      <c r="O322">
        <v>6.08</v>
      </c>
      <c r="P322">
        <v>16.399999999999999</v>
      </c>
      <c r="Q322">
        <v>3</v>
      </c>
      <c r="R322">
        <v>4.43</v>
      </c>
      <c r="S322">
        <v>2</v>
      </c>
      <c r="T322" t="b">
        <v>0</v>
      </c>
      <c r="U322" t="str">
        <f t="shared" si="20"/>
        <v>Normal Usage</v>
      </c>
      <c r="V322" t="str">
        <f t="shared" si="21"/>
        <v>Normal</v>
      </c>
      <c r="W322" t="str">
        <f t="shared" si="22"/>
        <v>Stable</v>
      </c>
      <c r="X322" t="str">
        <f t="shared" si="23"/>
        <v>Low</v>
      </c>
      <c r="Y322">
        <f t="shared" si="24"/>
        <v>75</v>
      </c>
    </row>
    <row r="323" spans="1:25">
      <c r="A323" t="s">
        <v>51</v>
      </c>
      <c r="B323">
        <v>106</v>
      </c>
      <c r="C323">
        <v>408</v>
      </c>
      <c r="D323" t="s">
        <v>21</v>
      </c>
      <c r="E323" t="s">
        <v>21</v>
      </c>
      <c r="F323">
        <v>0</v>
      </c>
      <c r="G323">
        <v>178.4</v>
      </c>
      <c r="H323">
        <v>143</v>
      </c>
      <c r="I323">
        <v>30.33</v>
      </c>
      <c r="J323">
        <v>247</v>
      </c>
      <c r="K323">
        <v>123</v>
      </c>
      <c r="L323">
        <v>21</v>
      </c>
      <c r="M323">
        <v>259.89999999999998</v>
      </c>
      <c r="N323">
        <v>105</v>
      </c>
      <c r="O323">
        <v>11.7</v>
      </c>
      <c r="P323">
        <v>9.6</v>
      </c>
      <c r="Q323">
        <v>2</v>
      </c>
      <c r="R323">
        <v>2.59</v>
      </c>
      <c r="S323">
        <v>0</v>
      </c>
      <c r="T323" t="b">
        <v>0</v>
      </c>
      <c r="U323" t="str">
        <f t="shared" ref="U323:U386" si="25">IF(G323&gt;200,"High Usage","Normal Usage")</f>
        <v>Normal Usage</v>
      </c>
      <c r="V323" t="str">
        <f t="shared" ref="V323:V386" si="26">IF(AND(S323&gt;3,D323="Yes"),"High Risk","Normal")</f>
        <v>Normal</v>
      </c>
      <c r="W323" t="str">
        <f t="shared" ref="W323:W386" si="27">IF(OR(S323&gt;3,G323&gt;250),"Potential Churn","Stable")</f>
        <v>Stable</v>
      </c>
      <c r="X323" t="str">
        <f t="shared" ref="X323:X386" si="28">IF(S323&gt;5,"Critical",IF(S323&gt;=3,"Medium","Low"))</f>
        <v>Low</v>
      </c>
      <c r="Y323">
        <f t="shared" ref="Y323:Y386" si="29">VLOOKUP(A323,A322:U989,2,FALSE)</f>
        <v>106</v>
      </c>
    </row>
    <row r="324" spans="1:25">
      <c r="A324" t="s">
        <v>49</v>
      </c>
      <c r="B324">
        <v>70</v>
      </c>
      <c r="C324">
        <v>408</v>
      </c>
      <c r="D324" t="s">
        <v>21</v>
      </c>
      <c r="E324" t="s">
        <v>21</v>
      </c>
      <c r="F324">
        <v>0</v>
      </c>
      <c r="G324">
        <v>148.4</v>
      </c>
      <c r="H324">
        <v>110</v>
      </c>
      <c r="I324">
        <v>25.23</v>
      </c>
      <c r="J324">
        <v>267.10000000000002</v>
      </c>
      <c r="K324">
        <v>90</v>
      </c>
      <c r="L324">
        <v>22.7</v>
      </c>
      <c r="M324">
        <v>151.5</v>
      </c>
      <c r="N324">
        <v>101</v>
      </c>
      <c r="O324">
        <v>6.82</v>
      </c>
      <c r="P324">
        <v>8.9</v>
      </c>
      <c r="Q324">
        <v>4</v>
      </c>
      <c r="R324">
        <v>2.4</v>
      </c>
      <c r="S324">
        <v>0</v>
      </c>
      <c r="T324" t="b">
        <v>0</v>
      </c>
      <c r="U324" t="str">
        <f t="shared" si="25"/>
        <v>Normal Usage</v>
      </c>
      <c r="V324" t="str">
        <f t="shared" si="26"/>
        <v>Normal</v>
      </c>
      <c r="W324" t="str">
        <f t="shared" si="27"/>
        <v>Stable</v>
      </c>
      <c r="X324" t="str">
        <f t="shared" si="28"/>
        <v>Low</v>
      </c>
      <c r="Y324">
        <f t="shared" si="29"/>
        <v>70</v>
      </c>
    </row>
    <row r="325" spans="1:25">
      <c r="A325" t="s">
        <v>35</v>
      </c>
      <c r="B325">
        <v>80</v>
      </c>
      <c r="C325">
        <v>408</v>
      </c>
      <c r="D325" t="s">
        <v>21</v>
      </c>
      <c r="E325" t="s">
        <v>21</v>
      </c>
      <c r="F325">
        <v>0</v>
      </c>
      <c r="G325">
        <v>148.6</v>
      </c>
      <c r="H325">
        <v>106</v>
      </c>
      <c r="I325">
        <v>25.26</v>
      </c>
      <c r="J325">
        <v>210.8</v>
      </c>
      <c r="K325">
        <v>65</v>
      </c>
      <c r="L325">
        <v>17.920000000000002</v>
      </c>
      <c r="M325">
        <v>203.7</v>
      </c>
      <c r="N325">
        <v>86</v>
      </c>
      <c r="O325">
        <v>9.17</v>
      </c>
      <c r="P325">
        <v>10</v>
      </c>
      <c r="Q325">
        <v>2</v>
      </c>
      <c r="R325">
        <v>2.7</v>
      </c>
      <c r="S325">
        <v>2</v>
      </c>
      <c r="T325" t="b">
        <v>0</v>
      </c>
      <c r="U325" t="str">
        <f t="shared" si="25"/>
        <v>Normal Usage</v>
      </c>
      <c r="V325" t="str">
        <f t="shared" si="26"/>
        <v>Normal</v>
      </c>
      <c r="W325" t="str">
        <f t="shared" si="27"/>
        <v>Stable</v>
      </c>
      <c r="X325" t="str">
        <f t="shared" si="28"/>
        <v>Low</v>
      </c>
      <c r="Y325">
        <f t="shared" si="29"/>
        <v>80</v>
      </c>
    </row>
    <row r="326" spans="1:25">
      <c r="A326" t="s">
        <v>33</v>
      </c>
      <c r="B326">
        <v>137</v>
      </c>
      <c r="C326">
        <v>510</v>
      </c>
      <c r="D326" t="s">
        <v>21</v>
      </c>
      <c r="E326" t="s">
        <v>21</v>
      </c>
      <c r="F326">
        <v>0</v>
      </c>
      <c r="G326">
        <v>97.5</v>
      </c>
      <c r="H326">
        <v>95</v>
      </c>
      <c r="I326">
        <v>16.579999999999998</v>
      </c>
      <c r="J326">
        <v>195.8</v>
      </c>
      <c r="K326">
        <v>82</v>
      </c>
      <c r="L326">
        <v>16.64</v>
      </c>
      <c r="M326">
        <v>288.8</v>
      </c>
      <c r="N326">
        <v>78</v>
      </c>
      <c r="O326">
        <v>13</v>
      </c>
      <c r="P326">
        <v>0</v>
      </c>
      <c r="Q326">
        <v>0</v>
      </c>
      <c r="R326">
        <v>0</v>
      </c>
      <c r="S326">
        <v>1</v>
      </c>
      <c r="T326" t="b">
        <v>0</v>
      </c>
      <c r="U326" t="str">
        <f t="shared" si="25"/>
        <v>Normal Usage</v>
      </c>
      <c r="V326" t="str">
        <f t="shared" si="26"/>
        <v>Normal</v>
      </c>
      <c r="W326" t="str">
        <f t="shared" si="27"/>
        <v>Stable</v>
      </c>
      <c r="X326" t="str">
        <f t="shared" si="28"/>
        <v>Low</v>
      </c>
      <c r="Y326">
        <f t="shared" si="29"/>
        <v>137</v>
      </c>
    </row>
    <row r="327" spans="1:25">
      <c r="A327" t="s">
        <v>63</v>
      </c>
      <c r="B327">
        <v>90</v>
      </c>
      <c r="C327">
        <v>415</v>
      </c>
      <c r="D327" t="s">
        <v>21</v>
      </c>
      <c r="E327" t="s">
        <v>27</v>
      </c>
      <c r="F327">
        <v>29</v>
      </c>
      <c r="G327">
        <v>185.6</v>
      </c>
      <c r="H327">
        <v>106</v>
      </c>
      <c r="I327">
        <v>31.55</v>
      </c>
      <c r="J327">
        <v>219.7</v>
      </c>
      <c r="K327">
        <v>113</v>
      </c>
      <c r="L327">
        <v>18.670000000000002</v>
      </c>
      <c r="M327">
        <v>152.1</v>
      </c>
      <c r="N327">
        <v>120</v>
      </c>
      <c r="O327">
        <v>6.84</v>
      </c>
      <c r="P327">
        <v>11.1</v>
      </c>
      <c r="Q327">
        <v>5</v>
      </c>
      <c r="R327">
        <v>3</v>
      </c>
      <c r="S327">
        <v>2</v>
      </c>
      <c r="T327" t="b">
        <v>0</v>
      </c>
      <c r="U327" t="str">
        <f t="shared" si="25"/>
        <v>Normal Usage</v>
      </c>
      <c r="V327" t="str">
        <f t="shared" si="26"/>
        <v>Normal</v>
      </c>
      <c r="W327" t="str">
        <f t="shared" si="27"/>
        <v>Stable</v>
      </c>
      <c r="X327" t="str">
        <f t="shared" si="28"/>
        <v>Low</v>
      </c>
      <c r="Y327">
        <f t="shared" si="29"/>
        <v>90</v>
      </c>
    </row>
    <row r="328" spans="1:25">
      <c r="A328" t="s">
        <v>56</v>
      </c>
      <c r="B328">
        <v>30</v>
      </c>
      <c r="C328">
        <v>408</v>
      </c>
      <c r="D328" t="s">
        <v>21</v>
      </c>
      <c r="E328" t="s">
        <v>21</v>
      </c>
      <c r="F328">
        <v>0</v>
      </c>
      <c r="G328">
        <v>137.6</v>
      </c>
      <c r="H328">
        <v>108</v>
      </c>
      <c r="I328">
        <v>23.39</v>
      </c>
      <c r="J328">
        <v>162</v>
      </c>
      <c r="K328">
        <v>80</v>
      </c>
      <c r="L328">
        <v>13.77</v>
      </c>
      <c r="M328">
        <v>187.7</v>
      </c>
      <c r="N328">
        <v>126</v>
      </c>
      <c r="O328">
        <v>8.4499999999999993</v>
      </c>
      <c r="P328">
        <v>5.8</v>
      </c>
      <c r="Q328">
        <v>10</v>
      </c>
      <c r="R328">
        <v>1.57</v>
      </c>
      <c r="S328">
        <v>3</v>
      </c>
      <c r="T328" t="b">
        <v>0</v>
      </c>
      <c r="U328" t="str">
        <f t="shared" si="25"/>
        <v>Normal Usage</v>
      </c>
      <c r="V328" t="str">
        <f t="shared" si="26"/>
        <v>Normal</v>
      </c>
      <c r="W328" t="str">
        <f t="shared" si="27"/>
        <v>Stable</v>
      </c>
      <c r="X328" t="str">
        <f t="shared" si="28"/>
        <v>Medium</v>
      </c>
      <c r="Y328">
        <f t="shared" si="29"/>
        <v>30</v>
      </c>
    </row>
    <row r="329" spans="1:25">
      <c r="A329" t="s">
        <v>52</v>
      </c>
      <c r="B329">
        <v>105</v>
      </c>
      <c r="C329">
        <v>415</v>
      </c>
      <c r="D329" t="s">
        <v>27</v>
      </c>
      <c r="E329" t="s">
        <v>21</v>
      </c>
      <c r="F329">
        <v>0</v>
      </c>
      <c r="G329">
        <v>273.89999999999998</v>
      </c>
      <c r="H329">
        <v>119</v>
      </c>
      <c r="I329">
        <v>46.56</v>
      </c>
      <c r="J329">
        <v>278.60000000000002</v>
      </c>
      <c r="K329">
        <v>103</v>
      </c>
      <c r="L329">
        <v>23.68</v>
      </c>
      <c r="M329">
        <v>255.3</v>
      </c>
      <c r="N329">
        <v>90</v>
      </c>
      <c r="O329">
        <v>11.49</v>
      </c>
      <c r="P329">
        <v>10.9</v>
      </c>
      <c r="Q329">
        <v>7</v>
      </c>
      <c r="R329">
        <v>2.94</v>
      </c>
      <c r="S329">
        <v>1</v>
      </c>
      <c r="T329" t="b">
        <v>1</v>
      </c>
      <c r="U329" t="str">
        <f t="shared" si="25"/>
        <v>High Usage</v>
      </c>
      <c r="V329" t="str">
        <f t="shared" si="26"/>
        <v>Normal</v>
      </c>
      <c r="W329" t="str">
        <f t="shared" si="27"/>
        <v>Potential Churn</v>
      </c>
      <c r="X329" t="str">
        <f t="shared" si="28"/>
        <v>Low</v>
      </c>
      <c r="Y329">
        <f t="shared" si="29"/>
        <v>105</v>
      </c>
    </row>
    <row r="330" spans="1:25">
      <c r="A330" t="s">
        <v>35</v>
      </c>
      <c r="B330">
        <v>102</v>
      </c>
      <c r="C330">
        <v>415</v>
      </c>
      <c r="D330" t="s">
        <v>21</v>
      </c>
      <c r="E330" t="s">
        <v>27</v>
      </c>
      <c r="F330">
        <v>31</v>
      </c>
      <c r="G330">
        <v>125.3</v>
      </c>
      <c r="H330">
        <v>92</v>
      </c>
      <c r="I330">
        <v>21.3</v>
      </c>
      <c r="J330">
        <v>141.19999999999999</v>
      </c>
      <c r="K330">
        <v>108</v>
      </c>
      <c r="L330">
        <v>12</v>
      </c>
      <c r="M330">
        <v>168.2</v>
      </c>
      <c r="N330">
        <v>68</v>
      </c>
      <c r="O330">
        <v>7.57</v>
      </c>
      <c r="P330">
        <v>6.3</v>
      </c>
      <c r="Q330">
        <v>2</v>
      </c>
      <c r="R330">
        <v>1.7</v>
      </c>
      <c r="S330">
        <v>3</v>
      </c>
      <c r="T330" t="b">
        <v>0</v>
      </c>
      <c r="U330" t="str">
        <f t="shared" si="25"/>
        <v>Normal Usage</v>
      </c>
      <c r="V330" t="str">
        <f t="shared" si="26"/>
        <v>Normal</v>
      </c>
      <c r="W330" t="str">
        <f t="shared" si="27"/>
        <v>Stable</v>
      </c>
      <c r="X330" t="str">
        <f t="shared" si="28"/>
        <v>Medium</v>
      </c>
      <c r="Y330">
        <f t="shared" si="29"/>
        <v>102</v>
      </c>
    </row>
    <row r="331" spans="1:25">
      <c r="A331" t="s">
        <v>64</v>
      </c>
      <c r="B331">
        <v>83</v>
      </c>
      <c r="C331">
        <v>415</v>
      </c>
      <c r="D331" t="s">
        <v>21</v>
      </c>
      <c r="E331" t="s">
        <v>21</v>
      </c>
      <c r="F331">
        <v>0</v>
      </c>
      <c r="G331">
        <v>178.8</v>
      </c>
      <c r="H331">
        <v>102</v>
      </c>
      <c r="I331">
        <v>30.4</v>
      </c>
      <c r="J331">
        <v>167.9</v>
      </c>
      <c r="K331">
        <v>84</v>
      </c>
      <c r="L331">
        <v>14.27</v>
      </c>
      <c r="M331">
        <v>178.9</v>
      </c>
      <c r="N331">
        <v>65</v>
      </c>
      <c r="O331">
        <v>8.0500000000000007</v>
      </c>
      <c r="P331">
        <v>8.6</v>
      </c>
      <c r="Q331">
        <v>4</v>
      </c>
      <c r="R331">
        <v>2.3199999999999998</v>
      </c>
      <c r="S331">
        <v>3</v>
      </c>
      <c r="T331" t="b">
        <v>0</v>
      </c>
      <c r="U331" t="str">
        <f t="shared" si="25"/>
        <v>Normal Usage</v>
      </c>
      <c r="V331" t="str">
        <f t="shared" si="26"/>
        <v>Normal</v>
      </c>
      <c r="W331" t="str">
        <f t="shared" si="27"/>
        <v>Stable</v>
      </c>
      <c r="X331" t="str">
        <f t="shared" si="28"/>
        <v>Medium</v>
      </c>
      <c r="Y331">
        <f t="shared" si="29"/>
        <v>83</v>
      </c>
    </row>
    <row r="332" spans="1:25">
      <c r="A332" t="s">
        <v>69</v>
      </c>
      <c r="B332">
        <v>63</v>
      </c>
      <c r="C332">
        <v>510</v>
      </c>
      <c r="D332" t="s">
        <v>21</v>
      </c>
      <c r="E332" t="s">
        <v>27</v>
      </c>
      <c r="F332">
        <v>49</v>
      </c>
      <c r="G332">
        <v>214.9</v>
      </c>
      <c r="H332">
        <v>86</v>
      </c>
      <c r="I332">
        <v>36.53</v>
      </c>
      <c r="J332">
        <v>198.2</v>
      </c>
      <c r="K332">
        <v>89</v>
      </c>
      <c r="L332">
        <v>16.850000000000001</v>
      </c>
      <c r="M332">
        <v>170.8</v>
      </c>
      <c r="N332">
        <v>139</v>
      </c>
      <c r="O332">
        <v>7.69</v>
      </c>
      <c r="P332">
        <v>8.1999999999999993</v>
      </c>
      <c r="Q332">
        <v>5</v>
      </c>
      <c r="R332">
        <v>2.21</v>
      </c>
      <c r="S332">
        <v>0</v>
      </c>
      <c r="T332" t="b">
        <v>0</v>
      </c>
      <c r="U332" t="str">
        <f t="shared" si="25"/>
        <v>High Usage</v>
      </c>
      <c r="V332" t="str">
        <f t="shared" si="26"/>
        <v>Normal</v>
      </c>
      <c r="W332" t="str">
        <f t="shared" si="27"/>
        <v>Stable</v>
      </c>
      <c r="X332" t="str">
        <f t="shared" si="28"/>
        <v>Low</v>
      </c>
      <c r="Y332">
        <f t="shared" si="29"/>
        <v>63</v>
      </c>
    </row>
    <row r="333" spans="1:25">
      <c r="A333" t="s">
        <v>49</v>
      </c>
      <c r="B333">
        <v>155</v>
      </c>
      <c r="C333">
        <v>408</v>
      </c>
      <c r="D333" t="s">
        <v>21</v>
      </c>
      <c r="E333" t="s">
        <v>21</v>
      </c>
      <c r="F333">
        <v>0</v>
      </c>
      <c r="G333">
        <v>163</v>
      </c>
      <c r="H333">
        <v>93</v>
      </c>
      <c r="I333">
        <v>27.71</v>
      </c>
      <c r="J333">
        <v>203.9</v>
      </c>
      <c r="K333">
        <v>102</v>
      </c>
      <c r="L333">
        <v>17.329999999999998</v>
      </c>
      <c r="M333">
        <v>159</v>
      </c>
      <c r="N333">
        <v>109</v>
      </c>
      <c r="O333">
        <v>7.15</v>
      </c>
      <c r="P333">
        <v>15.1</v>
      </c>
      <c r="Q333">
        <v>4</v>
      </c>
      <c r="R333">
        <v>4.08</v>
      </c>
      <c r="S333">
        <v>2</v>
      </c>
      <c r="T333" t="b">
        <v>0</v>
      </c>
      <c r="U333" t="str">
        <f t="shared" si="25"/>
        <v>Normal Usage</v>
      </c>
      <c r="V333" t="str">
        <f t="shared" si="26"/>
        <v>Normal</v>
      </c>
      <c r="W333" t="str">
        <f t="shared" si="27"/>
        <v>Stable</v>
      </c>
      <c r="X333" t="str">
        <f t="shared" si="28"/>
        <v>Low</v>
      </c>
      <c r="Y333">
        <f t="shared" si="29"/>
        <v>155</v>
      </c>
    </row>
    <row r="334" spans="1:25">
      <c r="A334" t="s">
        <v>62</v>
      </c>
      <c r="B334">
        <v>105</v>
      </c>
      <c r="C334">
        <v>408</v>
      </c>
      <c r="D334" t="s">
        <v>21</v>
      </c>
      <c r="E334" t="s">
        <v>21</v>
      </c>
      <c r="F334">
        <v>0</v>
      </c>
      <c r="G334">
        <v>115.5</v>
      </c>
      <c r="H334">
        <v>73</v>
      </c>
      <c r="I334">
        <v>19.64</v>
      </c>
      <c r="J334">
        <v>267.3</v>
      </c>
      <c r="K334">
        <v>83</v>
      </c>
      <c r="L334">
        <v>22.72</v>
      </c>
      <c r="M334">
        <v>114.2</v>
      </c>
      <c r="N334">
        <v>90</v>
      </c>
      <c r="O334">
        <v>5.14</v>
      </c>
      <c r="P334">
        <v>13.3</v>
      </c>
      <c r="Q334">
        <v>5</v>
      </c>
      <c r="R334">
        <v>3.59</v>
      </c>
      <c r="S334">
        <v>3</v>
      </c>
      <c r="T334" t="b">
        <v>0</v>
      </c>
      <c r="U334" t="str">
        <f t="shared" si="25"/>
        <v>Normal Usage</v>
      </c>
      <c r="V334" t="str">
        <f t="shared" si="26"/>
        <v>Normal</v>
      </c>
      <c r="W334" t="str">
        <f t="shared" si="27"/>
        <v>Stable</v>
      </c>
      <c r="X334" t="str">
        <f t="shared" si="28"/>
        <v>Medium</v>
      </c>
      <c r="Y334">
        <f t="shared" si="29"/>
        <v>105</v>
      </c>
    </row>
    <row r="335" spans="1:25">
      <c r="A335" t="s">
        <v>71</v>
      </c>
      <c r="B335">
        <v>73</v>
      </c>
      <c r="C335">
        <v>415</v>
      </c>
      <c r="D335" t="s">
        <v>21</v>
      </c>
      <c r="E335" t="s">
        <v>21</v>
      </c>
      <c r="F335">
        <v>0</v>
      </c>
      <c r="G335">
        <v>137.1</v>
      </c>
      <c r="H335">
        <v>102</v>
      </c>
      <c r="I335">
        <v>23.31</v>
      </c>
      <c r="J335">
        <v>210.8</v>
      </c>
      <c r="K335">
        <v>114</v>
      </c>
      <c r="L335">
        <v>17.920000000000002</v>
      </c>
      <c r="M335">
        <v>191.4</v>
      </c>
      <c r="N335">
        <v>120</v>
      </c>
      <c r="O335">
        <v>8.61</v>
      </c>
      <c r="P335">
        <v>11.1</v>
      </c>
      <c r="Q335">
        <v>4</v>
      </c>
      <c r="R335">
        <v>3</v>
      </c>
      <c r="S335">
        <v>1</v>
      </c>
      <c r="T335" t="b">
        <v>0</v>
      </c>
      <c r="U335" t="str">
        <f t="shared" si="25"/>
        <v>Normal Usage</v>
      </c>
      <c r="V335" t="str">
        <f t="shared" si="26"/>
        <v>Normal</v>
      </c>
      <c r="W335" t="str">
        <f t="shared" si="27"/>
        <v>Stable</v>
      </c>
      <c r="X335" t="str">
        <f t="shared" si="28"/>
        <v>Low</v>
      </c>
      <c r="Y335">
        <f t="shared" si="29"/>
        <v>73</v>
      </c>
    </row>
    <row r="336" spans="1:25">
      <c r="A336" t="s">
        <v>46</v>
      </c>
      <c r="B336">
        <v>21</v>
      </c>
      <c r="C336">
        <v>415</v>
      </c>
      <c r="D336" t="s">
        <v>21</v>
      </c>
      <c r="E336" t="s">
        <v>27</v>
      </c>
      <c r="F336">
        <v>19</v>
      </c>
      <c r="G336">
        <v>132.69999999999999</v>
      </c>
      <c r="H336">
        <v>94</v>
      </c>
      <c r="I336">
        <v>22.56</v>
      </c>
      <c r="J336">
        <v>204.6</v>
      </c>
      <c r="K336">
        <v>101</v>
      </c>
      <c r="L336">
        <v>17.39</v>
      </c>
      <c r="M336">
        <v>154.69999999999999</v>
      </c>
      <c r="N336">
        <v>78</v>
      </c>
      <c r="O336">
        <v>6.96</v>
      </c>
      <c r="P336">
        <v>12.9</v>
      </c>
      <c r="Q336">
        <v>7</v>
      </c>
      <c r="R336">
        <v>3.48</v>
      </c>
      <c r="S336">
        <v>3</v>
      </c>
      <c r="T336" t="b">
        <v>0</v>
      </c>
      <c r="U336" t="str">
        <f t="shared" si="25"/>
        <v>Normal Usage</v>
      </c>
      <c r="V336" t="str">
        <f t="shared" si="26"/>
        <v>Normal</v>
      </c>
      <c r="W336" t="str">
        <f t="shared" si="27"/>
        <v>Stable</v>
      </c>
      <c r="X336" t="str">
        <f t="shared" si="28"/>
        <v>Medium</v>
      </c>
      <c r="Y336">
        <f t="shared" si="29"/>
        <v>21</v>
      </c>
    </row>
    <row r="337" spans="1:25">
      <c r="A337" t="s">
        <v>48</v>
      </c>
      <c r="B337">
        <v>71</v>
      </c>
      <c r="C337">
        <v>415</v>
      </c>
      <c r="D337" t="s">
        <v>21</v>
      </c>
      <c r="E337" t="s">
        <v>27</v>
      </c>
      <c r="F337">
        <v>39</v>
      </c>
      <c r="G337">
        <v>183.2</v>
      </c>
      <c r="H337">
        <v>103</v>
      </c>
      <c r="I337">
        <v>31.14</v>
      </c>
      <c r="J337">
        <v>209.4</v>
      </c>
      <c r="K337">
        <v>111</v>
      </c>
      <c r="L337">
        <v>17.8</v>
      </c>
      <c r="M337">
        <v>172.4</v>
      </c>
      <c r="N337">
        <v>109</v>
      </c>
      <c r="O337">
        <v>7.76</v>
      </c>
      <c r="P337">
        <v>11.9</v>
      </c>
      <c r="Q337">
        <v>6</v>
      </c>
      <c r="R337">
        <v>3.21</v>
      </c>
      <c r="S337">
        <v>1</v>
      </c>
      <c r="T337" t="b">
        <v>0</v>
      </c>
      <c r="U337" t="str">
        <f t="shared" si="25"/>
        <v>Normal Usage</v>
      </c>
      <c r="V337" t="str">
        <f t="shared" si="26"/>
        <v>Normal</v>
      </c>
      <c r="W337" t="str">
        <f t="shared" si="27"/>
        <v>Stable</v>
      </c>
      <c r="X337" t="str">
        <f t="shared" si="28"/>
        <v>Low</v>
      </c>
      <c r="Y337">
        <f t="shared" si="29"/>
        <v>71</v>
      </c>
    </row>
    <row r="338" spans="1:25">
      <c r="A338" t="s">
        <v>36</v>
      </c>
      <c r="B338">
        <v>112</v>
      </c>
      <c r="C338">
        <v>415</v>
      </c>
      <c r="D338" t="s">
        <v>21</v>
      </c>
      <c r="E338" t="s">
        <v>21</v>
      </c>
      <c r="F338">
        <v>0</v>
      </c>
      <c r="G338">
        <v>170.5</v>
      </c>
      <c r="H338">
        <v>113</v>
      </c>
      <c r="I338">
        <v>28.99</v>
      </c>
      <c r="J338">
        <v>193.2</v>
      </c>
      <c r="K338">
        <v>129</v>
      </c>
      <c r="L338">
        <v>16.420000000000002</v>
      </c>
      <c r="M338">
        <v>188</v>
      </c>
      <c r="N338">
        <v>91</v>
      </c>
      <c r="O338">
        <v>8.4600000000000009</v>
      </c>
      <c r="P338">
        <v>11.2</v>
      </c>
      <c r="Q338">
        <v>6</v>
      </c>
      <c r="R338">
        <v>3.02</v>
      </c>
      <c r="S338">
        <v>0</v>
      </c>
      <c r="T338" t="b">
        <v>0</v>
      </c>
      <c r="U338" t="str">
        <f t="shared" si="25"/>
        <v>Normal Usage</v>
      </c>
      <c r="V338" t="str">
        <f t="shared" si="26"/>
        <v>Normal</v>
      </c>
      <c r="W338" t="str">
        <f t="shared" si="27"/>
        <v>Stable</v>
      </c>
      <c r="X338" t="str">
        <f t="shared" si="28"/>
        <v>Low</v>
      </c>
      <c r="Y338">
        <f t="shared" si="29"/>
        <v>112</v>
      </c>
    </row>
    <row r="339" spans="1:25">
      <c r="A339" t="s">
        <v>38</v>
      </c>
      <c r="B339">
        <v>66</v>
      </c>
      <c r="C339">
        <v>510</v>
      </c>
      <c r="D339" t="s">
        <v>21</v>
      </c>
      <c r="E339" t="s">
        <v>21</v>
      </c>
      <c r="F339">
        <v>0</v>
      </c>
      <c r="G339">
        <v>154</v>
      </c>
      <c r="H339">
        <v>133</v>
      </c>
      <c r="I339">
        <v>26.18</v>
      </c>
      <c r="J339">
        <v>198.9</v>
      </c>
      <c r="K339">
        <v>121</v>
      </c>
      <c r="L339">
        <v>16.91</v>
      </c>
      <c r="M339">
        <v>151.9</v>
      </c>
      <c r="N339">
        <v>100</v>
      </c>
      <c r="O339">
        <v>6.84</v>
      </c>
      <c r="P339">
        <v>9.5</v>
      </c>
      <c r="Q339">
        <v>3</v>
      </c>
      <c r="R339">
        <v>2.57</v>
      </c>
      <c r="S339">
        <v>4</v>
      </c>
      <c r="T339" t="b">
        <v>1</v>
      </c>
      <c r="U339" t="str">
        <f t="shared" si="25"/>
        <v>Normal Usage</v>
      </c>
      <c r="V339" t="str">
        <f t="shared" si="26"/>
        <v>Normal</v>
      </c>
      <c r="W339" t="str">
        <f t="shared" si="27"/>
        <v>Potential Churn</v>
      </c>
      <c r="X339" t="str">
        <f t="shared" si="28"/>
        <v>Medium</v>
      </c>
      <c r="Y339">
        <f t="shared" si="29"/>
        <v>66</v>
      </c>
    </row>
    <row r="340" spans="1:25">
      <c r="A340" t="s">
        <v>70</v>
      </c>
      <c r="B340">
        <v>99</v>
      </c>
      <c r="C340">
        <v>408</v>
      </c>
      <c r="D340" t="s">
        <v>21</v>
      </c>
      <c r="E340" t="s">
        <v>21</v>
      </c>
      <c r="F340">
        <v>0</v>
      </c>
      <c r="G340">
        <v>54.8</v>
      </c>
      <c r="H340">
        <v>92</v>
      </c>
      <c r="I340">
        <v>9.32</v>
      </c>
      <c r="J340">
        <v>173</v>
      </c>
      <c r="K340">
        <v>103</v>
      </c>
      <c r="L340">
        <v>14.71</v>
      </c>
      <c r="M340">
        <v>195.1</v>
      </c>
      <c r="N340">
        <v>125</v>
      </c>
      <c r="O340">
        <v>8.7799999999999994</v>
      </c>
      <c r="P340">
        <v>7.5</v>
      </c>
      <c r="Q340">
        <v>3</v>
      </c>
      <c r="R340">
        <v>2.0299999999999998</v>
      </c>
      <c r="S340">
        <v>1</v>
      </c>
      <c r="T340" t="b">
        <v>0</v>
      </c>
      <c r="U340" t="str">
        <f t="shared" si="25"/>
        <v>Normal Usage</v>
      </c>
      <c r="V340" t="str">
        <f t="shared" si="26"/>
        <v>Normal</v>
      </c>
      <c r="W340" t="str">
        <f t="shared" si="27"/>
        <v>Stable</v>
      </c>
      <c r="X340" t="str">
        <f t="shared" si="28"/>
        <v>Low</v>
      </c>
      <c r="Y340">
        <f t="shared" si="29"/>
        <v>99</v>
      </c>
    </row>
    <row r="341" spans="1:25">
      <c r="A341" t="s">
        <v>66</v>
      </c>
      <c r="B341">
        <v>124</v>
      </c>
      <c r="C341">
        <v>510</v>
      </c>
      <c r="D341" t="s">
        <v>21</v>
      </c>
      <c r="E341" t="s">
        <v>21</v>
      </c>
      <c r="F341">
        <v>0</v>
      </c>
      <c r="G341">
        <v>184.8</v>
      </c>
      <c r="H341">
        <v>74</v>
      </c>
      <c r="I341">
        <v>31.42</v>
      </c>
      <c r="J341">
        <v>175.1</v>
      </c>
      <c r="K341">
        <v>84</v>
      </c>
      <c r="L341">
        <v>14.88</v>
      </c>
      <c r="M341">
        <v>158.19999999999999</v>
      </c>
      <c r="N341">
        <v>95</v>
      </c>
      <c r="O341">
        <v>7.12</v>
      </c>
      <c r="P341">
        <v>10.5</v>
      </c>
      <c r="Q341">
        <v>6</v>
      </c>
      <c r="R341">
        <v>2.84</v>
      </c>
      <c r="S341">
        <v>1</v>
      </c>
      <c r="T341" t="b">
        <v>0</v>
      </c>
      <c r="U341" t="str">
        <f t="shared" si="25"/>
        <v>Normal Usage</v>
      </c>
      <c r="V341" t="str">
        <f t="shared" si="26"/>
        <v>Normal</v>
      </c>
      <c r="W341" t="str">
        <f t="shared" si="27"/>
        <v>Stable</v>
      </c>
      <c r="X341" t="str">
        <f t="shared" si="28"/>
        <v>Low</v>
      </c>
      <c r="Y341">
        <f t="shared" si="29"/>
        <v>124</v>
      </c>
    </row>
    <row r="342" spans="1:25">
      <c r="A342" t="s">
        <v>56</v>
      </c>
      <c r="B342">
        <v>95</v>
      </c>
      <c r="C342">
        <v>415</v>
      </c>
      <c r="D342" t="s">
        <v>21</v>
      </c>
      <c r="E342" t="s">
        <v>27</v>
      </c>
      <c r="F342">
        <v>36</v>
      </c>
      <c r="G342">
        <v>283.10000000000002</v>
      </c>
      <c r="H342">
        <v>112</v>
      </c>
      <c r="I342">
        <v>48.13</v>
      </c>
      <c r="J342">
        <v>286.2</v>
      </c>
      <c r="K342">
        <v>86</v>
      </c>
      <c r="L342">
        <v>24.33</v>
      </c>
      <c r="M342">
        <v>261.7</v>
      </c>
      <c r="N342">
        <v>129</v>
      </c>
      <c r="O342">
        <v>11.78</v>
      </c>
      <c r="P342">
        <v>11.3</v>
      </c>
      <c r="Q342">
        <v>3</v>
      </c>
      <c r="R342">
        <v>3.05</v>
      </c>
      <c r="S342">
        <v>3</v>
      </c>
      <c r="T342" t="b">
        <v>0</v>
      </c>
      <c r="U342" t="str">
        <f t="shared" si="25"/>
        <v>High Usage</v>
      </c>
      <c r="V342" t="str">
        <f t="shared" si="26"/>
        <v>Normal</v>
      </c>
      <c r="W342" t="str">
        <f t="shared" si="27"/>
        <v>Potential Churn</v>
      </c>
      <c r="X342" t="str">
        <f t="shared" si="28"/>
        <v>Medium</v>
      </c>
      <c r="Y342">
        <f t="shared" si="29"/>
        <v>95</v>
      </c>
    </row>
    <row r="343" spans="1:25">
      <c r="A343" t="s">
        <v>45</v>
      </c>
      <c r="B343">
        <v>130</v>
      </c>
      <c r="C343">
        <v>408</v>
      </c>
      <c r="D343" t="s">
        <v>21</v>
      </c>
      <c r="E343" t="s">
        <v>21</v>
      </c>
      <c r="F343">
        <v>0</v>
      </c>
      <c r="G343">
        <v>68.400000000000006</v>
      </c>
      <c r="H343">
        <v>86</v>
      </c>
      <c r="I343">
        <v>11.63</v>
      </c>
      <c r="J343">
        <v>193.3</v>
      </c>
      <c r="K343">
        <v>110</v>
      </c>
      <c r="L343">
        <v>16.43</v>
      </c>
      <c r="M343">
        <v>171.5</v>
      </c>
      <c r="N343">
        <v>139</v>
      </c>
      <c r="O343">
        <v>7.72</v>
      </c>
      <c r="P343">
        <v>10.4</v>
      </c>
      <c r="Q343">
        <v>4</v>
      </c>
      <c r="R343">
        <v>2.81</v>
      </c>
      <c r="S343">
        <v>0</v>
      </c>
      <c r="T343" t="b">
        <v>0</v>
      </c>
      <c r="U343" t="str">
        <f t="shared" si="25"/>
        <v>Normal Usage</v>
      </c>
      <c r="V343" t="str">
        <f t="shared" si="26"/>
        <v>Normal</v>
      </c>
      <c r="W343" t="str">
        <f t="shared" si="27"/>
        <v>Stable</v>
      </c>
      <c r="X343" t="str">
        <f t="shared" si="28"/>
        <v>Low</v>
      </c>
      <c r="Y343">
        <f t="shared" si="29"/>
        <v>130</v>
      </c>
    </row>
    <row r="344" spans="1:25">
      <c r="A344" t="s">
        <v>65</v>
      </c>
      <c r="B344">
        <v>93</v>
      </c>
      <c r="C344">
        <v>510</v>
      </c>
      <c r="D344" t="s">
        <v>27</v>
      </c>
      <c r="E344" t="s">
        <v>21</v>
      </c>
      <c r="F344">
        <v>0</v>
      </c>
      <c r="G344">
        <v>131.4</v>
      </c>
      <c r="H344">
        <v>78</v>
      </c>
      <c r="I344">
        <v>22.34</v>
      </c>
      <c r="J344">
        <v>219.7</v>
      </c>
      <c r="K344">
        <v>106</v>
      </c>
      <c r="L344">
        <v>18.670000000000002</v>
      </c>
      <c r="M344">
        <v>155.69999999999999</v>
      </c>
      <c r="N344">
        <v>103</v>
      </c>
      <c r="O344">
        <v>7.01</v>
      </c>
      <c r="P344">
        <v>11.1</v>
      </c>
      <c r="Q344">
        <v>2</v>
      </c>
      <c r="R344">
        <v>3</v>
      </c>
      <c r="S344">
        <v>1</v>
      </c>
      <c r="T344" t="b">
        <v>1</v>
      </c>
      <c r="U344" t="str">
        <f t="shared" si="25"/>
        <v>Normal Usage</v>
      </c>
      <c r="V344" t="str">
        <f t="shared" si="26"/>
        <v>Normal</v>
      </c>
      <c r="W344" t="str">
        <f t="shared" si="27"/>
        <v>Stable</v>
      </c>
      <c r="X344" t="str">
        <f t="shared" si="28"/>
        <v>Low</v>
      </c>
      <c r="Y344">
        <f t="shared" si="29"/>
        <v>93</v>
      </c>
    </row>
    <row r="345" spans="1:25">
      <c r="A345" t="s">
        <v>66</v>
      </c>
      <c r="B345">
        <v>191</v>
      </c>
      <c r="C345">
        <v>408</v>
      </c>
      <c r="D345" t="s">
        <v>21</v>
      </c>
      <c r="E345" t="s">
        <v>21</v>
      </c>
      <c r="F345">
        <v>0</v>
      </c>
      <c r="G345">
        <v>162</v>
      </c>
      <c r="H345">
        <v>104</v>
      </c>
      <c r="I345">
        <v>27.54</v>
      </c>
      <c r="J345">
        <v>241.2</v>
      </c>
      <c r="K345">
        <v>120</v>
      </c>
      <c r="L345">
        <v>20.5</v>
      </c>
      <c r="M345">
        <v>210.4</v>
      </c>
      <c r="N345">
        <v>83</v>
      </c>
      <c r="O345">
        <v>9.4700000000000006</v>
      </c>
      <c r="P345">
        <v>10.9</v>
      </c>
      <c r="Q345">
        <v>7</v>
      </c>
      <c r="R345">
        <v>2.94</v>
      </c>
      <c r="S345">
        <v>1</v>
      </c>
      <c r="T345" t="b">
        <v>0</v>
      </c>
      <c r="U345" t="str">
        <f t="shared" si="25"/>
        <v>Normal Usage</v>
      </c>
      <c r="V345" t="str">
        <f t="shared" si="26"/>
        <v>Normal</v>
      </c>
      <c r="W345" t="str">
        <f t="shared" si="27"/>
        <v>Stable</v>
      </c>
      <c r="X345" t="str">
        <f t="shared" si="28"/>
        <v>Low</v>
      </c>
      <c r="Y345">
        <f t="shared" si="29"/>
        <v>191</v>
      </c>
    </row>
    <row r="346" spans="1:25">
      <c r="A346" t="s">
        <v>36</v>
      </c>
      <c r="B346">
        <v>88</v>
      </c>
      <c r="C346">
        <v>415</v>
      </c>
      <c r="D346" t="s">
        <v>21</v>
      </c>
      <c r="E346" t="s">
        <v>21</v>
      </c>
      <c r="F346">
        <v>0</v>
      </c>
      <c r="G346">
        <v>148.19999999999999</v>
      </c>
      <c r="H346">
        <v>82</v>
      </c>
      <c r="I346">
        <v>25.19</v>
      </c>
      <c r="J346">
        <v>308.7</v>
      </c>
      <c r="K346">
        <v>67</v>
      </c>
      <c r="L346">
        <v>26.24</v>
      </c>
      <c r="M346">
        <v>235.4</v>
      </c>
      <c r="N346">
        <v>79</v>
      </c>
      <c r="O346">
        <v>10.59</v>
      </c>
      <c r="P346">
        <v>6.4</v>
      </c>
      <c r="Q346">
        <v>4</v>
      </c>
      <c r="R346">
        <v>1.73</v>
      </c>
      <c r="S346">
        <v>2</v>
      </c>
      <c r="T346" t="b">
        <v>0</v>
      </c>
      <c r="U346" t="str">
        <f t="shared" si="25"/>
        <v>Normal Usage</v>
      </c>
      <c r="V346" t="str">
        <f t="shared" si="26"/>
        <v>Normal</v>
      </c>
      <c r="W346" t="str">
        <f t="shared" si="27"/>
        <v>Stable</v>
      </c>
      <c r="X346" t="str">
        <f t="shared" si="28"/>
        <v>Low</v>
      </c>
      <c r="Y346">
        <f t="shared" si="29"/>
        <v>88</v>
      </c>
    </row>
    <row r="347" spans="1:25">
      <c r="A347" t="s">
        <v>50</v>
      </c>
      <c r="B347">
        <v>16</v>
      </c>
      <c r="C347">
        <v>415</v>
      </c>
      <c r="D347" t="s">
        <v>21</v>
      </c>
      <c r="E347" t="s">
        <v>21</v>
      </c>
      <c r="F347">
        <v>0</v>
      </c>
      <c r="G347">
        <v>174.7</v>
      </c>
      <c r="H347">
        <v>83</v>
      </c>
      <c r="I347">
        <v>29.7</v>
      </c>
      <c r="J347">
        <v>280.8</v>
      </c>
      <c r="K347">
        <v>122</v>
      </c>
      <c r="L347">
        <v>23.87</v>
      </c>
      <c r="M347">
        <v>171.7</v>
      </c>
      <c r="N347">
        <v>80</v>
      </c>
      <c r="O347">
        <v>7.73</v>
      </c>
      <c r="P347">
        <v>10.5</v>
      </c>
      <c r="Q347">
        <v>8</v>
      </c>
      <c r="R347">
        <v>2.84</v>
      </c>
      <c r="S347">
        <v>5</v>
      </c>
      <c r="T347" t="b">
        <v>0</v>
      </c>
      <c r="U347" t="str">
        <f t="shared" si="25"/>
        <v>Normal Usage</v>
      </c>
      <c r="V347" t="str">
        <f t="shared" si="26"/>
        <v>Normal</v>
      </c>
      <c r="W347" t="str">
        <f t="shared" si="27"/>
        <v>Potential Churn</v>
      </c>
      <c r="X347" t="str">
        <f t="shared" si="28"/>
        <v>Medium</v>
      </c>
      <c r="Y347">
        <f t="shared" si="29"/>
        <v>16</v>
      </c>
    </row>
    <row r="348" spans="1:25">
      <c r="A348" t="s">
        <v>72</v>
      </c>
      <c r="B348">
        <v>107</v>
      </c>
      <c r="C348">
        <v>510</v>
      </c>
      <c r="D348" t="s">
        <v>21</v>
      </c>
      <c r="E348" t="s">
        <v>21</v>
      </c>
      <c r="F348">
        <v>0</v>
      </c>
      <c r="G348">
        <v>194.5</v>
      </c>
      <c r="H348">
        <v>97</v>
      </c>
      <c r="I348">
        <v>33.07</v>
      </c>
      <c r="J348">
        <v>186.3</v>
      </c>
      <c r="K348">
        <v>131</v>
      </c>
      <c r="L348">
        <v>15.84</v>
      </c>
      <c r="M348">
        <v>178.3</v>
      </c>
      <c r="N348">
        <v>106</v>
      </c>
      <c r="O348">
        <v>8.02</v>
      </c>
      <c r="P348">
        <v>12.7</v>
      </c>
      <c r="Q348">
        <v>1</v>
      </c>
      <c r="R348">
        <v>3.43</v>
      </c>
      <c r="S348">
        <v>2</v>
      </c>
      <c r="T348" t="b">
        <v>0</v>
      </c>
      <c r="U348" t="str">
        <f t="shared" si="25"/>
        <v>Normal Usage</v>
      </c>
      <c r="V348" t="str">
        <f t="shared" si="26"/>
        <v>Normal</v>
      </c>
      <c r="W348" t="str">
        <f t="shared" si="27"/>
        <v>Stable</v>
      </c>
      <c r="X348" t="str">
        <f t="shared" si="28"/>
        <v>Low</v>
      </c>
      <c r="Y348">
        <f t="shared" si="29"/>
        <v>107</v>
      </c>
    </row>
    <row r="349" spans="1:25">
      <c r="A349" t="s">
        <v>26</v>
      </c>
      <c r="B349">
        <v>96</v>
      </c>
      <c r="C349">
        <v>408</v>
      </c>
      <c r="D349" t="s">
        <v>21</v>
      </c>
      <c r="E349" t="s">
        <v>27</v>
      </c>
      <c r="F349">
        <v>29</v>
      </c>
      <c r="G349">
        <v>150</v>
      </c>
      <c r="H349">
        <v>91</v>
      </c>
      <c r="I349">
        <v>25.5</v>
      </c>
      <c r="J349">
        <v>159.4</v>
      </c>
      <c r="K349">
        <v>75</v>
      </c>
      <c r="L349">
        <v>13.55</v>
      </c>
      <c r="M349">
        <v>228.1</v>
      </c>
      <c r="N349">
        <v>55</v>
      </c>
      <c r="O349">
        <v>10.26</v>
      </c>
      <c r="P349">
        <v>8.5</v>
      </c>
      <c r="Q349">
        <v>3</v>
      </c>
      <c r="R349">
        <v>2.2999999999999998</v>
      </c>
      <c r="S349">
        <v>1</v>
      </c>
      <c r="T349" t="b">
        <v>0</v>
      </c>
      <c r="U349" t="str">
        <f t="shared" si="25"/>
        <v>Normal Usage</v>
      </c>
      <c r="V349" t="str">
        <f t="shared" si="26"/>
        <v>Normal</v>
      </c>
      <c r="W349" t="str">
        <f t="shared" si="27"/>
        <v>Stable</v>
      </c>
      <c r="X349" t="str">
        <f t="shared" si="28"/>
        <v>Low</v>
      </c>
      <c r="Y349">
        <f t="shared" si="29"/>
        <v>96</v>
      </c>
    </row>
    <row r="350" spans="1:25">
      <c r="A350" t="s">
        <v>56</v>
      </c>
      <c r="B350">
        <v>163</v>
      </c>
      <c r="C350">
        <v>408</v>
      </c>
      <c r="D350" t="s">
        <v>21</v>
      </c>
      <c r="E350" t="s">
        <v>27</v>
      </c>
      <c r="F350">
        <v>40</v>
      </c>
      <c r="G350">
        <v>231.9</v>
      </c>
      <c r="H350">
        <v>56</v>
      </c>
      <c r="I350">
        <v>39.42</v>
      </c>
      <c r="J350">
        <v>211.8</v>
      </c>
      <c r="K350">
        <v>91</v>
      </c>
      <c r="L350">
        <v>18</v>
      </c>
      <c r="M350">
        <v>268.5</v>
      </c>
      <c r="N350">
        <v>74</v>
      </c>
      <c r="O350">
        <v>12.08</v>
      </c>
      <c r="P350">
        <v>12.3</v>
      </c>
      <c r="Q350">
        <v>3</v>
      </c>
      <c r="R350">
        <v>3.32</v>
      </c>
      <c r="S350">
        <v>2</v>
      </c>
      <c r="T350" t="b">
        <v>0</v>
      </c>
      <c r="U350" t="str">
        <f t="shared" si="25"/>
        <v>High Usage</v>
      </c>
      <c r="V350" t="str">
        <f t="shared" si="26"/>
        <v>Normal</v>
      </c>
      <c r="W350" t="str">
        <f t="shared" si="27"/>
        <v>Stable</v>
      </c>
      <c r="X350" t="str">
        <f t="shared" si="28"/>
        <v>Low</v>
      </c>
      <c r="Y350">
        <f t="shared" si="29"/>
        <v>163</v>
      </c>
    </row>
    <row r="351" spans="1:25">
      <c r="A351" t="s">
        <v>47</v>
      </c>
      <c r="B351">
        <v>95</v>
      </c>
      <c r="C351">
        <v>415</v>
      </c>
      <c r="D351" t="s">
        <v>21</v>
      </c>
      <c r="E351" t="s">
        <v>21</v>
      </c>
      <c r="F351">
        <v>0</v>
      </c>
      <c r="G351">
        <v>269</v>
      </c>
      <c r="H351">
        <v>120</v>
      </c>
      <c r="I351">
        <v>45.73</v>
      </c>
      <c r="J351">
        <v>233.7</v>
      </c>
      <c r="K351">
        <v>120</v>
      </c>
      <c r="L351">
        <v>19.86</v>
      </c>
      <c r="M351">
        <v>179.3</v>
      </c>
      <c r="N351">
        <v>61</v>
      </c>
      <c r="O351">
        <v>8.07</v>
      </c>
      <c r="P351">
        <v>7.3</v>
      </c>
      <c r="Q351">
        <v>4</v>
      </c>
      <c r="R351">
        <v>1.97</v>
      </c>
      <c r="S351">
        <v>2</v>
      </c>
      <c r="T351" t="b">
        <v>1</v>
      </c>
      <c r="U351" t="str">
        <f t="shared" si="25"/>
        <v>High Usage</v>
      </c>
      <c r="V351" t="str">
        <f t="shared" si="26"/>
        <v>Normal</v>
      </c>
      <c r="W351" t="str">
        <f t="shared" si="27"/>
        <v>Potential Churn</v>
      </c>
      <c r="X351" t="str">
        <f t="shared" si="28"/>
        <v>Low</v>
      </c>
      <c r="Y351">
        <f t="shared" si="29"/>
        <v>95</v>
      </c>
    </row>
    <row r="352" spans="1:25">
      <c r="A352" t="s">
        <v>55</v>
      </c>
      <c r="B352">
        <v>123</v>
      </c>
      <c r="C352">
        <v>415</v>
      </c>
      <c r="D352" t="s">
        <v>21</v>
      </c>
      <c r="E352" t="s">
        <v>27</v>
      </c>
      <c r="F352">
        <v>27</v>
      </c>
      <c r="G352">
        <v>198.7</v>
      </c>
      <c r="H352">
        <v>127</v>
      </c>
      <c r="I352">
        <v>33.78</v>
      </c>
      <c r="J352">
        <v>249</v>
      </c>
      <c r="K352">
        <v>105</v>
      </c>
      <c r="L352">
        <v>21.17</v>
      </c>
      <c r="M352">
        <v>173.2</v>
      </c>
      <c r="N352">
        <v>124</v>
      </c>
      <c r="O352">
        <v>7.79</v>
      </c>
      <c r="P352">
        <v>12.5</v>
      </c>
      <c r="Q352">
        <v>5</v>
      </c>
      <c r="R352">
        <v>3.38</v>
      </c>
      <c r="S352">
        <v>1</v>
      </c>
      <c r="T352" t="b">
        <v>0</v>
      </c>
      <c r="U352" t="str">
        <f t="shared" si="25"/>
        <v>Normal Usage</v>
      </c>
      <c r="V352" t="str">
        <f t="shared" si="26"/>
        <v>Normal</v>
      </c>
      <c r="W352" t="str">
        <f t="shared" si="27"/>
        <v>Stable</v>
      </c>
      <c r="X352" t="str">
        <f t="shared" si="28"/>
        <v>Low</v>
      </c>
      <c r="Y352">
        <f t="shared" si="29"/>
        <v>123</v>
      </c>
    </row>
    <row r="353" spans="1:25">
      <c r="A353" t="s">
        <v>35</v>
      </c>
      <c r="B353">
        <v>34</v>
      </c>
      <c r="C353">
        <v>415</v>
      </c>
      <c r="D353" t="s">
        <v>21</v>
      </c>
      <c r="E353" t="s">
        <v>21</v>
      </c>
      <c r="F353">
        <v>0</v>
      </c>
      <c r="G353">
        <v>293.7</v>
      </c>
      <c r="H353">
        <v>89</v>
      </c>
      <c r="I353">
        <v>49.93</v>
      </c>
      <c r="J353">
        <v>272.5</v>
      </c>
      <c r="K353">
        <v>71</v>
      </c>
      <c r="L353">
        <v>23.16</v>
      </c>
      <c r="M353">
        <v>178.2</v>
      </c>
      <c r="N353">
        <v>76</v>
      </c>
      <c r="O353">
        <v>8.02</v>
      </c>
      <c r="P353">
        <v>11</v>
      </c>
      <c r="Q353">
        <v>10</v>
      </c>
      <c r="R353">
        <v>2.97</v>
      </c>
      <c r="S353">
        <v>2</v>
      </c>
      <c r="T353" t="b">
        <v>1</v>
      </c>
      <c r="U353" t="str">
        <f t="shared" si="25"/>
        <v>High Usage</v>
      </c>
      <c r="V353" t="str">
        <f t="shared" si="26"/>
        <v>Normal</v>
      </c>
      <c r="W353" t="str">
        <f t="shared" si="27"/>
        <v>Potential Churn</v>
      </c>
      <c r="X353" t="str">
        <f t="shared" si="28"/>
        <v>Low</v>
      </c>
      <c r="Y353">
        <f t="shared" si="29"/>
        <v>34</v>
      </c>
    </row>
    <row r="354" spans="1:25">
      <c r="A354" t="s">
        <v>58</v>
      </c>
      <c r="B354">
        <v>96</v>
      </c>
      <c r="C354">
        <v>415</v>
      </c>
      <c r="D354" t="s">
        <v>21</v>
      </c>
      <c r="E354" t="s">
        <v>27</v>
      </c>
      <c r="F354">
        <v>26</v>
      </c>
      <c r="G354">
        <v>175.8</v>
      </c>
      <c r="H354">
        <v>96</v>
      </c>
      <c r="I354">
        <v>29.89</v>
      </c>
      <c r="J354">
        <v>206.6</v>
      </c>
      <c r="K354">
        <v>84</v>
      </c>
      <c r="L354">
        <v>17.559999999999999</v>
      </c>
      <c r="M354">
        <v>178</v>
      </c>
      <c r="N354">
        <v>105</v>
      </c>
      <c r="O354">
        <v>8.01</v>
      </c>
      <c r="P354">
        <v>11.1</v>
      </c>
      <c r="Q354">
        <v>2</v>
      </c>
      <c r="R354">
        <v>3</v>
      </c>
      <c r="S354">
        <v>2</v>
      </c>
      <c r="T354" t="b">
        <v>0</v>
      </c>
      <c r="U354" t="str">
        <f t="shared" si="25"/>
        <v>Normal Usage</v>
      </c>
      <c r="V354" t="str">
        <f t="shared" si="26"/>
        <v>Normal</v>
      </c>
      <c r="W354" t="str">
        <f t="shared" si="27"/>
        <v>Stable</v>
      </c>
      <c r="X354" t="str">
        <f t="shared" si="28"/>
        <v>Low</v>
      </c>
      <c r="Y354">
        <f t="shared" si="29"/>
        <v>96</v>
      </c>
    </row>
    <row r="355" spans="1:25">
      <c r="A355" t="s">
        <v>42</v>
      </c>
      <c r="B355">
        <v>146</v>
      </c>
      <c r="C355">
        <v>415</v>
      </c>
      <c r="D355" t="s">
        <v>21</v>
      </c>
      <c r="E355" t="s">
        <v>21</v>
      </c>
      <c r="F355">
        <v>0</v>
      </c>
      <c r="G355">
        <v>169.5</v>
      </c>
      <c r="H355">
        <v>93</v>
      </c>
      <c r="I355">
        <v>28.82</v>
      </c>
      <c r="J355">
        <v>230.9</v>
      </c>
      <c r="K355">
        <v>71</v>
      </c>
      <c r="L355">
        <v>19.63</v>
      </c>
      <c r="M355">
        <v>269.8</v>
      </c>
      <c r="N355">
        <v>115</v>
      </c>
      <c r="O355">
        <v>12.14</v>
      </c>
      <c r="P355">
        <v>9</v>
      </c>
      <c r="Q355">
        <v>7</v>
      </c>
      <c r="R355">
        <v>2.4300000000000002</v>
      </c>
      <c r="S355">
        <v>2</v>
      </c>
      <c r="T355" t="b">
        <v>0</v>
      </c>
      <c r="U355" t="str">
        <f t="shared" si="25"/>
        <v>Normal Usage</v>
      </c>
      <c r="V355" t="str">
        <f t="shared" si="26"/>
        <v>Normal</v>
      </c>
      <c r="W355" t="str">
        <f t="shared" si="27"/>
        <v>Stable</v>
      </c>
      <c r="X355" t="str">
        <f t="shared" si="28"/>
        <v>Low</v>
      </c>
      <c r="Y355">
        <f t="shared" si="29"/>
        <v>146</v>
      </c>
    </row>
    <row r="356" spans="1:25">
      <c r="A356" t="s">
        <v>29</v>
      </c>
      <c r="B356">
        <v>138</v>
      </c>
      <c r="C356">
        <v>415</v>
      </c>
      <c r="D356" t="s">
        <v>27</v>
      </c>
      <c r="E356" t="s">
        <v>27</v>
      </c>
      <c r="F356">
        <v>17</v>
      </c>
      <c r="G356">
        <v>225.2</v>
      </c>
      <c r="H356">
        <v>116</v>
      </c>
      <c r="I356">
        <v>38.28</v>
      </c>
      <c r="J356">
        <v>173.4</v>
      </c>
      <c r="K356">
        <v>88</v>
      </c>
      <c r="L356">
        <v>14.74</v>
      </c>
      <c r="M356">
        <v>145.80000000000001</v>
      </c>
      <c r="N356">
        <v>99</v>
      </c>
      <c r="O356">
        <v>6.56</v>
      </c>
      <c r="P356">
        <v>11.7</v>
      </c>
      <c r="Q356">
        <v>4</v>
      </c>
      <c r="R356">
        <v>3.16</v>
      </c>
      <c r="S356">
        <v>0</v>
      </c>
      <c r="T356" t="b">
        <v>0</v>
      </c>
      <c r="U356" t="str">
        <f t="shared" si="25"/>
        <v>High Usage</v>
      </c>
      <c r="V356" t="str">
        <f t="shared" si="26"/>
        <v>Normal</v>
      </c>
      <c r="W356" t="str">
        <f t="shared" si="27"/>
        <v>Stable</v>
      </c>
      <c r="X356" t="str">
        <f t="shared" si="28"/>
        <v>Low</v>
      </c>
      <c r="Y356">
        <f t="shared" si="29"/>
        <v>138</v>
      </c>
    </row>
    <row r="357" spans="1:25">
      <c r="A357" t="s">
        <v>43</v>
      </c>
      <c r="B357">
        <v>76</v>
      </c>
      <c r="C357">
        <v>510</v>
      </c>
      <c r="D357" t="s">
        <v>21</v>
      </c>
      <c r="E357" t="s">
        <v>21</v>
      </c>
      <c r="F357">
        <v>0</v>
      </c>
      <c r="G357">
        <v>129.69999999999999</v>
      </c>
      <c r="H357">
        <v>84</v>
      </c>
      <c r="I357">
        <v>22.05</v>
      </c>
      <c r="J357">
        <v>177.5</v>
      </c>
      <c r="K357">
        <v>80</v>
      </c>
      <c r="L357">
        <v>15.09</v>
      </c>
      <c r="M357">
        <v>228.9</v>
      </c>
      <c r="N357">
        <v>87</v>
      </c>
      <c r="O357">
        <v>10.3</v>
      </c>
      <c r="P357">
        <v>7.5</v>
      </c>
      <c r="Q357">
        <v>3</v>
      </c>
      <c r="R357">
        <v>2.0299999999999998</v>
      </c>
      <c r="S357">
        <v>5</v>
      </c>
      <c r="T357" t="b">
        <v>1</v>
      </c>
      <c r="U357" t="str">
        <f t="shared" si="25"/>
        <v>Normal Usage</v>
      </c>
      <c r="V357" t="str">
        <f t="shared" si="26"/>
        <v>Normal</v>
      </c>
      <c r="W357" t="str">
        <f t="shared" si="27"/>
        <v>Potential Churn</v>
      </c>
      <c r="X357" t="str">
        <f t="shared" si="28"/>
        <v>Medium</v>
      </c>
      <c r="Y357">
        <f t="shared" si="29"/>
        <v>76</v>
      </c>
    </row>
    <row r="358" spans="1:25">
      <c r="A358" t="s">
        <v>53</v>
      </c>
      <c r="B358">
        <v>83</v>
      </c>
      <c r="C358">
        <v>510</v>
      </c>
      <c r="D358" t="s">
        <v>21</v>
      </c>
      <c r="E358" t="s">
        <v>27</v>
      </c>
      <c r="F358">
        <v>36</v>
      </c>
      <c r="G358">
        <v>95.9</v>
      </c>
      <c r="H358">
        <v>87</v>
      </c>
      <c r="I358">
        <v>16.3</v>
      </c>
      <c r="J358">
        <v>261.60000000000002</v>
      </c>
      <c r="K358">
        <v>105</v>
      </c>
      <c r="L358">
        <v>22.24</v>
      </c>
      <c r="M358">
        <v>228.6</v>
      </c>
      <c r="N358">
        <v>109</v>
      </c>
      <c r="O358">
        <v>10.29</v>
      </c>
      <c r="P358">
        <v>13.3</v>
      </c>
      <c r="Q358">
        <v>4</v>
      </c>
      <c r="R358">
        <v>3.59</v>
      </c>
      <c r="S358">
        <v>0</v>
      </c>
      <c r="T358" t="b">
        <v>0</v>
      </c>
      <c r="U358" t="str">
        <f t="shared" si="25"/>
        <v>Normal Usage</v>
      </c>
      <c r="V358" t="str">
        <f t="shared" si="26"/>
        <v>Normal</v>
      </c>
      <c r="W358" t="str">
        <f t="shared" si="27"/>
        <v>Stable</v>
      </c>
      <c r="X358" t="str">
        <f t="shared" si="28"/>
        <v>Low</v>
      </c>
      <c r="Y358">
        <f t="shared" si="29"/>
        <v>83</v>
      </c>
    </row>
    <row r="359" spans="1:25">
      <c r="A359" t="s">
        <v>25</v>
      </c>
      <c r="B359">
        <v>104</v>
      </c>
      <c r="C359">
        <v>408</v>
      </c>
      <c r="D359" t="s">
        <v>21</v>
      </c>
      <c r="E359" t="s">
        <v>21</v>
      </c>
      <c r="F359">
        <v>0</v>
      </c>
      <c r="G359">
        <v>170.6</v>
      </c>
      <c r="H359">
        <v>97</v>
      </c>
      <c r="I359">
        <v>29</v>
      </c>
      <c r="J359">
        <v>162.1</v>
      </c>
      <c r="K359">
        <v>111</v>
      </c>
      <c r="L359">
        <v>13.78</v>
      </c>
      <c r="M359">
        <v>210.7</v>
      </c>
      <c r="N359">
        <v>131</v>
      </c>
      <c r="O359">
        <v>9.48</v>
      </c>
      <c r="P359">
        <v>6.1</v>
      </c>
      <c r="Q359">
        <v>1</v>
      </c>
      <c r="R359">
        <v>1.65</v>
      </c>
      <c r="S359">
        <v>1</v>
      </c>
      <c r="T359" t="b">
        <v>0</v>
      </c>
      <c r="U359" t="str">
        <f t="shared" si="25"/>
        <v>Normal Usage</v>
      </c>
      <c r="V359" t="str">
        <f t="shared" si="26"/>
        <v>Normal</v>
      </c>
      <c r="W359" t="str">
        <f t="shared" si="27"/>
        <v>Stable</v>
      </c>
      <c r="X359" t="str">
        <f t="shared" si="28"/>
        <v>Low</v>
      </c>
      <c r="Y359">
        <f t="shared" si="29"/>
        <v>104</v>
      </c>
    </row>
    <row r="360" spans="1:25">
      <c r="A360" t="s">
        <v>64</v>
      </c>
      <c r="B360">
        <v>106</v>
      </c>
      <c r="C360">
        <v>415</v>
      </c>
      <c r="D360" t="s">
        <v>21</v>
      </c>
      <c r="E360" t="s">
        <v>21</v>
      </c>
      <c r="F360">
        <v>0</v>
      </c>
      <c r="G360">
        <v>191.4</v>
      </c>
      <c r="H360">
        <v>124</v>
      </c>
      <c r="I360">
        <v>32.54</v>
      </c>
      <c r="J360">
        <v>200.7</v>
      </c>
      <c r="K360">
        <v>116</v>
      </c>
      <c r="L360">
        <v>17.059999999999999</v>
      </c>
      <c r="M360">
        <v>230.1</v>
      </c>
      <c r="N360">
        <v>76</v>
      </c>
      <c r="O360">
        <v>10.35</v>
      </c>
      <c r="P360">
        <v>8.1999999999999993</v>
      </c>
      <c r="Q360">
        <v>3</v>
      </c>
      <c r="R360">
        <v>2.21</v>
      </c>
      <c r="S360">
        <v>1</v>
      </c>
      <c r="T360" t="b">
        <v>0</v>
      </c>
      <c r="U360" t="str">
        <f t="shared" si="25"/>
        <v>Normal Usage</v>
      </c>
      <c r="V360" t="str">
        <f t="shared" si="26"/>
        <v>Normal</v>
      </c>
      <c r="W360" t="str">
        <f t="shared" si="27"/>
        <v>Stable</v>
      </c>
      <c r="X360" t="str">
        <f t="shared" si="28"/>
        <v>Low</v>
      </c>
      <c r="Y360">
        <f t="shared" si="29"/>
        <v>106</v>
      </c>
    </row>
    <row r="361" spans="1:25">
      <c r="A361" t="s">
        <v>49</v>
      </c>
      <c r="B361">
        <v>84</v>
      </c>
      <c r="C361">
        <v>510</v>
      </c>
      <c r="D361" t="s">
        <v>21</v>
      </c>
      <c r="E361" t="s">
        <v>21</v>
      </c>
      <c r="F361">
        <v>0</v>
      </c>
      <c r="G361">
        <v>75.3</v>
      </c>
      <c r="H361">
        <v>96</v>
      </c>
      <c r="I361">
        <v>12.8</v>
      </c>
      <c r="J361">
        <v>179.9</v>
      </c>
      <c r="K361">
        <v>113</v>
      </c>
      <c r="L361">
        <v>15.29</v>
      </c>
      <c r="M361">
        <v>193.8</v>
      </c>
      <c r="N361">
        <v>134</v>
      </c>
      <c r="O361">
        <v>8.7200000000000006</v>
      </c>
      <c r="P361">
        <v>12.3</v>
      </c>
      <c r="Q361">
        <v>1</v>
      </c>
      <c r="R361">
        <v>3.32</v>
      </c>
      <c r="S361">
        <v>1</v>
      </c>
      <c r="T361" t="b">
        <v>0</v>
      </c>
      <c r="U361" t="str">
        <f t="shared" si="25"/>
        <v>Normal Usage</v>
      </c>
      <c r="V361" t="str">
        <f t="shared" si="26"/>
        <v>Normal</v>
      </c>
      <c r="W361" t="str">
        <f t="shared" si="27"/>
        <v>Stable</v>
      </c>
      <c r="X361" t="str">
        <f t="shared" si="28"/>
        <v>Low</v>
      </c>
      <c r="Y361">
        <f t="shared" si="29"/>
        <v>84</v>
      </c>
    </row>
    <row r="362" spans="1:25">
      <c r="A362" t="s">
        <v>32</v>
      </c>
      <c r="B362">
        <v>99</v>
      </c>
      <c r="C362">
        <v>408</v>
      </c>
      <c r="D362" t="s">
        <v>21</v>
      </c>
      <c r="E362" t="s">
        <v>21</v>
      </c>
      <c r="F362">
        <v>0</v>
      </c>
      <c r="G362">
        <v>128.80000000000001</v>
      </c>
      <c r="H362">
        <v>86</v>
      </c>
      <c r="I362">
        <v>21.9</v>
      </c>
      <c r="J362">
        <v>203.9</v>
      </c>
      <c r="K362">
        <v>105</v>
      </c>
      <c r="L362">
        <v>17.329999999999998</v>
      </c>
      <c r="M362">
        <v>282.60000000000002</v>
      </c>
      <c r="N362">
        <v>131</v>
      </c>
      <c r="O362">
        <v>12.72</v>
      </c>
      <c r="P362">
        <v>14.1</v>
      </c>
      <c r="Q362">
        <v>4</v>
      </c>
      <c r="R362">
        <v>3.81</v>
      </c>
      <c r="S362">
        <v>2</v>
      </c>
      <c r="T362" t="b">
        <v>0</v>
      </c>
      <c r="U362" t="str">
        <f t="shared" si="25"/>
        <v>Normal Usage</v>
      </c>
      <c r="V362" t="str">
        <f t="shared" si="26"/>
        <v>Normal</v>
      </c>
      <c r="W362" t="str">
        <f t="shared" si="27"/>
        <v>Stable</v>
      </c>
      <c r="X362" t="str">
        <f t="shared" si="28"/>
        <v>Low</v>
      </c>
      <c r="Y362">
        <f t="shared" si="29"/>
        <v>99</v>
      </c>
    </row>
    <row r="363" spans="1:25">
      <c r="A363" t="s">
        <v>57</v>
      </c>
      <c r="B363">
        <v>134</v>
      </c>
      <c r="C363">
        <v>415</v>
      </c>
      <c r="D363" t="s">
        <v>21</v>
      </c>
      <c r="E363" t="s">
        <v>21</v>
      </c>
      <c r="F363">
        <v>0</v>
      </c>
      <c r="G363">
        <v>141.69999999999999</v>
      </c>
      <c r="H363">
        <v>95</v>
      </c>
      <c r="I363">
        <v>24.09</v>
      </c>
      <c r="J363">
        <v>205.6</v>
      </c>
      <c r="K363">
        <v>101</v>
      </c>
      <c r="L363">
        <v>17.48</v>
      </c>
      <c r="M363">
        <v>218.5</v>
      </c>
      <c r="N363">
        <v>60</v>
      </c>
      <c r="O363">
        <v>9.83</v>
      </c>
      <c r="P363">
        <v>8.8000000000000007</v>
      </c>
      <c r="Q363">
        <v>6</v>
      </c>
      <c r="R363">
        <v>2.38</v>
      </c>
      <c r="S363">
        <v>0</v>
      </c>
      <c r="T363" t="b">
        <v>0</v>
      </c>
      <c r="U363" t="str">
        <f t="shared" si="25"/>
        <v>Normal Usage</v>
      </c>
      <c r="V363" t="str">
        <f t="shared" si="26"/>
        <v>Normal</v>
      </c>
      <c r="W363" t="str">
        <f t="shared" si="27"/>
        <v>Stable</v>
      </c>
      <c r="X363" t="str">
        <f t="shared" si="28"/>
        <v>Low</v>
      </c>
      <c r="Y363">
        <f t="shared" si="29"/>
        <v>134</v>
      </c>
    </row>
    <row r="364" spans="1:25">
      <c r="A364" t="s">
        <v>64</v>
      </c>
      <c r="B364">
        <v>80</v>
      </c>
      <c r="C364">
        <v>415</v>
      </c>
      <c r="D364" t="s">
        <v>21</v>
      </c>
      <c r="E364" t="s">
        <v>21</v>
      </c>
      <c r="F364">
        <v>0</v>
      </c>
      <c r="G364">
        <v>268.7</v>
      </c>
      <c r="H364">
        <v>120</v>
      </c>
      <c r="I364">
        <v>45.68</v>
      </c>
      <c r="J364">
        <v>301</v>
      </c>
      <c r="K364">
        <v>147</v>
      </c>
      <c r="L364">
        <v>25.59</v>
      </c>
      <c r="M364">
        <v>167</v>
      </c>
      <c r="N364">
        <v>140</v>
      </c>
      <c r="O364">
        <v>7.52</v>
      </c>
      <c r="P364">
        <v>5.8</v>
      </c>
      <c r="Q364">
        <v>1</v>
      </c>
      <c r="R364">
        <v>1.57</v>
      </c>
      <c r="S364">
        <v>2</v>
      </c>
      <c r="T364" t="b">
        <v>1</v>
      </c>
      <c r="U364" t="str">
        <f t="shared" si="25"/>
        <v>High Usage</v>
      </c>
      <c r="V364" t="str">
        <f t="shared" si="26"/>
        <v>Normal</v>
      </c>
      <c r="W364" t="str">
        <f t="shared" si="27"/>
        <v>Potential Churn</v>
      </c>
      <c r="X364" t="str">
        <f t="shared" si="28"/>
        <v>Low</v>
      </c>
      <c r="Y364">
        <f t="shared" si="29"/>
        <v>80</v>
      </c>
    </row>
    <row r="365" spans="1:25">
      <c r="A365" t="s">
        <v>32</v>
      </c>
      <c r="B365">
        <v>85</v>
      </c>
      <c r="C365">
        <v>415</v>
      </c>
      <c r="D365" t="s">
        <v>21</v>
      </c>
      <c r="E365" t="s">
        <v>21</v>
      </c>
      <c r="F365">
        <v>0</v>
      </c>
      <c r="G365">
        <v>255.3</v>
      </c>
      <c r="H365">
        <v>114</v>
      </c>
      <c r="I365">
        <v>43.4</v>
      </c>
      <c r="J365">
        <v>194.6</v>
      </c>
      <c r="K365">
        <v>83</v>
      </c>
      <c r="L365">
        <v>16.54</v>
      </c>
      <c r="M365">
        <v>276.60000000000002</v>
      </c>
      <c r="N365">
        <v>78</v>
      </c>
      <c r="O365">
        <v>12.45</v>
      </c>
      <c r="P365">
        <v>3.7</v>
      </c>
      <c r="Q365">
        <v>5</v>
      </c>
      <c r="R365">
        <v>1</v>
      </c>
      <c r="S365">
        <v>3</v>
      </c>
      <c r="T365" t="b">
        <v>0</v>
      </c>
      <c r="U365" t="str">
        <f t="shared" si="25"/>
        <v>High Usage</v>
      </c>
      <c r="V365" t="str">
        <f t="shared" si="26"/>
        <v>Normal</v>
      </c>
      <c r="W365" t="str">
        <f t="shared" si="27"/>
        <v>Potential Churn</v>
      </c>
      <c r="X365" t="str">
        <f t="shared" si="28"/>
        <v>Medium</v>
      </c>
      <c r="Y365">
        <f t="shared" si="29"/>
        <v>85</v>
      </c>
    </row>
    <row r="366" spans="1:25">
      <c r="A366" t="s">
        <v>31</v>
      </c>
      <c r="B366">
        <v>120</v>
      </c>
      <c r="C366">
        <v>408</v>
      </c>
      <c r="D366" t="s">
        <v>21</v>
      </c>
      <c r="E366" t="s">
        <v>27</v>
      </c>
      <c r="F366">
        <v>26</v>
      </c>
      <c r="G366">
        <v>239.4</v>
      </c>
      <c r="H366">
        <v>94</v>
      </c>
      <c r="I366">
        <v>40.700000000000003</v>
      </c>
      <c r="J366">
        <v>259.39999999999998</v>
      </c>
      <c r="K366">
        <v>88</v>
      </c>
      <c r="L366">
        <v>22.05</v>
      </c>
      <c r="M366">
        <v>238</v>
      </c>
      <c r="N366">
        <v>132</v>
      </c>
      <c r="O366">
        <v>10.71</v>
      </c>
      <c r="P366">
        <v>7.7</v>
      </c>
      <c r="Q366">
        <v>3</v>
      </c>
      <c r="R366">
        <v>2.08</v>
      </c>
      <c r="S366">
        <v>0</v>
      </c>
      <c r="T366" t="b">
        <v>0</v>
      </c>
      <c r="U366" t="str">
        <f t="shared" si="25"/>
        <v>High Usage</v>
      </c>
      <c r="V366" t="str">
        <f t="shared" si="26"/>
        <v>Normal</v>
      </c>
      <c r="W366" t="str">
        <f t="shared" si="27"/>
        <v>Stable</v>
      </c>
      <c r="X366" t="str">
        <f t="shared" si="28"/>
        <v>Low</v>
      </c>
      <c r="Y366">
        <f t="shared" si="29"/>
        <v>120</v>
      </c>
    </row>
    <row r="367" spans="1:25">
      <c r="A367" t="s">
        <v>52</v>
      </c>
      <c r="B367">
        <v>120</v>
      </c>
      <c r="C367">
        <v>510</v>
      </c>
      <c r="D367" t="s">
        <v>21</v>
      </c>
      <c r="E367" t="s">
        <v>21</v>
      </c>
      <c r="F367">
        <v>0</v>
      </c>
      <c r="G367">
        <v>158</v>
      </c>
      <c r="H367">
        <v>110</v>
      </c>
      <c r="I367">
        <v>26.86</v>
      </c>
      <c r="J367">
        <v>197</v>
      </c>
      <c r="K367">
        <v>103</v>
      </c>
      <c r="L367">
        <v>16.75</v>
      </c>
      <c r="M367">
        <v>154.9</v>
      </c>
      <c r="N367">
        <v>132</v>
      </c>
      <c r="O367">
        <v>6.97</v>
      </c>
      <c r="P367">
        <v>10</v>
      </c>
      <c r="Q367">
        <v>5</v>
      </c>
      <c r="R367">
        <v>2.7</v>
      </c>
      <c r="S367">
        <v>1</v>
      </c>
      <c r="T367" t="b">
        <v>0</v>
      </c>
      <c r="U367" t="str">
        <f t="shared" si="25"/>
        <v>Normal Usage</v>
      </c>
      <c r="V367" t="str">
        <f t="shared" si="26"/>
        <v>Normal</v>
      </c>
      <c r="W367" t="str">
        <f t="shared" si="27"/>
        <v>Stable</v>
      </c>
      <c r="X367" t="str">
        <f t="shared" si="28"/>
        <v>Low</v>
      </c>
      <c r="Y367">
        <f t="shared" si="29"/>
        <v>120</v>
      </c>
    </row>
    <row r="368" spans="1:25">
      <c r="A368" t="s">
        <v>64</v>
      </c>
      <c r="B368">
        <v>125</v>
      </c>
      <c r="C368">
        <v>415</v>
      </c>
      <c r="D368" t="s">
        <v>21</v>
      </c>
      <c r="E368" t="s">
        <v>21</v>
      </c>
      <c r="F368">
        <v>0</v>
      </c>
      <c r="G368">
        <v>182.3</v>
      </c>
      <c r="H368">
        <v>64</v>
      </c>
      <c r="I368">
        <v>30.99</v>
      </c>
      <c r="J368">
        <v>139.80000000000001</v>
      </c>
      <c r="K368">
        <v>121</v>
      </c>
      <c r="L368">
        <v>11.88</v>
      </c>
      <c r="M368">
        <v>171.6</v>
      </c>
      <c r="N368">
        <v>96</v>
      </c>
      <c r="O368">
        <v>7.72</v>
      </c>
      <c r="P368">
        <v>11.6</v>
      </c>
      <c r="Q368">
        <v>7</v>
      </c>
      <c r="R368">
        <v>3.13</v>
      </c>
      <c r="S368">
        <v>2</v>
      </c>
      <c r="T368" t="b">
        <v>0</v>
      </c>
      <c r="U368" t="str">
        <f t="shared" si="25"/>
        <v>Normal Usage</v>
      </c>
      <c r="V368" t="str">
        <f t="shared" si="26"/>
        <v>Normal</v>
      </c>
      <c r="W368" t="str">
        <f t="shared" si="27"/>
        <v>Stable</v>
      </c>
      <c r="X368" t="str">
        <f t="shared" si="28"/>
        <v>Low</v>
      </c>
      <c r="Y368">
        <f t="shared" si="29"/>
        <v>125</v>
      </c>
    </row>
    <row r="369" spans="1:25">
      <c r="A369" t="s">
        <v>68</v>
      </c>
      <c r="B369">
        <v>118</v>
      </c>
      <c r="C369">
        <v>415</v>
      </c>
      <c r="D369" t="s">
        <v>21</v>
      </c>
      <c r="E369" t="s">
        <v>27</v>
      </c>
      <c r="F369">
        <v>39</v>
      </c>
      <c r="G369">
        <v>91.5</v>
      </c>
      <c r="H369">
        <v>125</v>
      </c>
      <c r="I369">
        <v>15.56</v>
      </c>
      <c r="J369">
        <v>219.9</v>
      </c>
      <c r="K369">
        <v>113</v>
      </c>
      <c r="L369">
        <v>18.690000000000001</v>
      </c>
      <c r="M369">
        <v>229</v>
      </c>
      <c r="N369">
        <v>99</v>
      </c>
      <c r="O369">
        <v>10.31</v>
      </c>
      <c r="P369">
        <v>12.7</v>
      </c>
      <c r="Q369">
        <v>8</v>
      </c>
      <c r="R369">
        <v>3.43</v>
      </c>
      <c r="S369">
        <v>2</v>
      </c>
      <c r="T369" t="b">
        <v>0</v>
      </c>
      <c r="U369" t="str">
        <f t="shared" si="25"/>
        <v>Normal Usage</v>
      </c>
      <c r="V369" t="str">
        <f t="shared" si="26"/>
        <v>Normal</v>
      </c>
      <c r="W369" t="str">
        <f t="shared" si="27"/>
        <v>Stable</v>
      </c>
      <c r="X369" t="str">
        <f t="shared" si="28"/>
        <v>Low</v>
      </c>
      <c r="Y369">
        <f t="shared" si="29"/>
        <v>118</v>
      </c>
    </row>
    <row r="370" spans="1:25">
      <c r="A370" t="s">
        <v>50</v>
      </c>
      <c r="B370">
        <v>62</v>
      </c>
      <c r="C370">
        <v>415</v>
      </c>
      <c r="D370" t="s">
        <v>21</v>
      </c>
      <c r="E370" t="s">
        <v>21</v>
      </c>
      <c r="F370">
        <v>0</v>
      </c>
      <c r="G370">
        <v>172.4</v>
      </c>
      <c r="H370">
        <v>132</v>
      </c>
      <c r="I370">
        <v>29.31</v>
      </c>
      <c r="J370">
        <v>230.5</v>
      </c>
      <c r="K370">
        <v>100</v>
      </c>
      <c r="L370">
        <v>19.59</v>
      </c>
      <c r="M370">
        <v>228.2</v>
      </c>
      <c r="N370">
        <v>109</v>
      </c>
      <c r="O370">
        <v>10.27</v>
      </c>
      <c r="P370">
        <v>11</v>
      </c>
      <c r="Q370">
        <v>5</v>
      </c>
      <c r="R370">
        <v>2.97</v>
      </c>
      <c r="S370">
        <v>0</v>
      </c>
      <c r="T370" t="b">
        <v>0</v>
      </c>
      <c r="U370" t="str">
        <f t="shared" si="25"/>
        <v>Normal Usage</v>
      </c>
      <c r="V370" t="str">
        <f t="shared" si="26"/>
        <v>Normal</v>
      </c>
      <c r="W370" t="str">
        <f t="shared" si="27"/>
        <v>Stable</v>
      </c>
      <c r="X370" t="str">
        <f t="shared" si="28"/>
        <v>Low</v>
      </c>
      <c r="Y370">
        <f t="shared" si="29"/>
        <v>62</v>
      </c>
    </row>
    <row r="371" spans="1:25">
      <c r="A371" t="s">
        <v>20</v>
      </c>
      <c r="B371">
        <v>112</v>
      </c>
      <c r="C371">
        <v>510</v>
      </c>
      <c r="D371" t="s">
        <v>21</v>
      </c>
      <c r="E371" t="s">
        <v>21</v>
      </c>
      <c r="F371">
        <v>0</v>
      </c>
      <c r="G371">
        <v>174.5</v>
      </c>
      <c r="H371">
        <v>127</v>
      </c>
      <c r="I371">
        <v>29.67</v>
      </c>
      <c r="J371">
        <v>259.3</v>
      </c>
      <c r="K371">
        <v>71</v>
      </c>
      <c r="L371">
        <v>22.04</v>
      </c>
      <c r="M371">
        <v>170.5</v>
      </c>
      <c r="N371">
        <v>120</v>
      </c>
      <c r="O371">
        <v>7.67</v>
      </c>
      <c r="P371">
        <v>11.3</v>
      </c>
      <c r="Q371">
        <v>7</v>
      </c>
      <c r="R371">
        <v>3.05</v>
      </c>
      <c r="S371">
        <v>1</v>
      </c>
      <c r="T371" t="b">
        <v>0</v>
      </c>
      <c r="U371" t="str">
        <f t="shared" si="25"/>
        <v>Normal Usage</v>
      </c>
      <c r="V371" t="str">
        <f t="shared" si="26"/>
        <v>Normal</v>
      </c>
      <c r="W371" t="str">
        <f t="shared" si="27"/>
        <v>Stable</v>
      </c>
      <c r="X371" t="str">
        <f t="shared" si="28"/>
        <v>Low</v>
      </c>
      <c r="Y371">
        <f t="shared" si="29"/>
        <v>112</v>
      </c>
    </row>
    <row r="372" spans="1:25">
      <c r="A372" t="s">
        <v>44</v>
      </c>
      <c r="B372">
        <v>68</v>
      </c>
      <c r="C372">
        <v>510</v>
      </c>
      <c r="D372" t="s">
        <v>21</v>
      </c>
      <c r="E372" t="s">
        <v>21</v>
      </c>
      <c r="F372">
        <v>0</v>
      </c>
      <c r="G372">
        <v>157.30000000000001</v>
      </c>
      <c r="H372">
        <v>83</v>
      </c>
      <c r="I372">
        <v>26.74</v>
      </c>
      <c r="J372">
        <v>220.9</v>
      </c>
      <c r="K372">
        <v>85</v>
      </c>
      <c r="L372">
        <v>18.78</v>
      </c>
      <c r="M372">
        <v>218.9</v>
      </c>
      <c r="N372">
        <v>129</v>
      </c>
      <c r="O372">
        <v>9.85</v>
      </c>
      <c r="P372">
        <v>12</v>
      </c>
      <c r="Q372">
        <v>7</v>
      </c>
      <c r="R372">
        <v>3.24</v>
      </c>
      <c r="S372">
        <v>1</v>
      </c>
      <c r="T372" t="b">
        <v>0</v>
      </c>
      <c r="U372" t="str">
        <f t="shared" si="25"/>
        <v>Normal Usage</v>
      </c>
      <c r="V372" t="str">
        <f t="shared" si="26"/>
        <v>Normal</v>
      </c>
      <c r="W372" t="str">
        <f t="shared" si="27"/>
        <v>Stable</v>
      </c>
      <c r="X372" t="str">
        <f t="shared" si="28"/>
        <v>Low</v>
      </c>
      <c r="Y372">
        <f t="shared" si="29"/>
        <v>68</v>
      </c>
    </row>
    <row r="373" spans="1:25">
      <c r="A373" t="s">
        <v>48</v>
      </c>
      <c r="B373">
        <v>201</v>
      </c>
      <c r="C373">
        <v>415</v>
      </c>
      <c r="D373" t="s">
        <v>21</v>
      </c>
      <c r="E373" t="s">
        <v>27</v>
      </c>
      <c r="F373">
        <v>21</v>
      </c>
      <c r="G373">
        <v>192</v>
      </c>
      <c r="H373">
        <v>97</v>
      </c>
      <c r="I373">
        <v>32.64</v>
      </c>
      <c r="J373">
        <v>239.1</v>
      </c>
      <c r="K373">
        <v>81</v>
      </c>
      <c r="L373">
        <v>20.32</v>
      </c>
      <c r="M373">
        <v>116.1</v>
      </c>
      <c r="N373">
        <v>125</v>
      </c>
      <c r="O373">
        <v>5.22</v>
      </c>
      <c r="P373">
        <v>15.1</v>
      </c>
      <c r="Q373">
        <v>3</v>
      </c>
      <c r="R373">
        <v>4.08</v>
      </c>
      <c r="S373">
        <v>1</v>
      </c>
      <c r="T373" t="b">
        <v>0</v>
      </c>
      <c r="U373" t="str">
        <f t="shared" si="25"/>
        <v>Normal Usage</v>
      </c>
      <c r="V373" t="str">
        <f t="shared" si="26"/>
        <v>Normal</v>
      </c>
      <c r="W373" t="str">
        <f t="shared" si="27"/>
        <v>Stable</v>
      </c>
      <c r="X373" t="str">
        <f t="shared" si="28"/>
        <v>Low</v>
      </c>
      <c r="Y373">
        <f t="shared" si="29"/>
        <v>201</v>
      </c>
    </row>
    <row r="374" spans="1:25">
      <c r="A374" t="s">
        <v>69</v>
      </c>
      <c r="B374">
        <v>116</v>
      </c>
      <c r="C374">
        <v>510</v>
      </c>
      <c r="D374" t="s">
        <v>21</v>
      </c>
      <c r="E374" t="s">
        <v>21</v>
      </c>
      <c r="F374">
        <v>0</v>
      </c>
      <c r="G374">
        <v>160.69999999999999</v>
      </c>
      <c r="H374">
        <v>69</v>
      </c>
      <c r="I374">
        <v>27.32</v>
      </c>
      <c r="J374">
        <v>146.80000000000001</v>
      </c>
      <c r="K374">
        <v>106</v>
      </c>
      <c r="L374">
        <v>12.48</v>
      </c>
      <c r="M374">
        <v>287.8</v>
      </c>
      <c r="N374">
        <v>144</v>
      </c>
      <c r="O374">
        <v>12.95</v>
      </c>
      <c r="P374">
        <v>8.1999999999999993</v>
      </c>
      <c r="Q374">
        <v>5</v>
      </c>
      <c r="R374">
        <v>2.21</v>
      </c>
      <c r="S374">
        <v>0</v>
      </c>
      <c r="T374" t="b">
        <v>0</v>
      </c>
      <c r="U374" t="str">
        <f t="shared" si="25"/>
        <v>Normal Usage</v>
      </c>
      <c r="V374" t="str">
        <f t="shared" si="26"/>
        <v>Normal</v>
      </c>
      <c r="W374" t="str">
        <f t="shared" si="27"/>
        <v>Stable</v>
      </c>
      <c r="X374" t="str">
        <f t="shared" si="28"/>
        <v>Low</v>
      </c>
      <c r="Y374">
        <f t="shared" si="29"/>
        <v>116</v>
      </c>
    </row>
    <row r="375" spans="1:25">
      <c r="A375" t="s">
        <v>72</v>
      </c>
      <c r="B375">
        <v>133</v>
      </c>
      <c r="C375">
        <v>510</v>
      </c>
      <c r="D375" t="s">
        <v>21</v>
      </c>
      <c r="E375" t="s">
        <v>21</v>
      </c>
      <c r="F375">
        <v>0</v>
      </c>
      <c r="G375">
        <v>227.4</v>
      </c>
      <c r="H375">
        <v>90</v>
      </c>
      <c r="I375">
        <v>38.659999999999997</v>
      </c>
      <c r="J375">
        <v>73.2</v>
      </c>
      <c r="K375">
        <v>135</v>
      </c>
      <c r="L375">
        <v>6.22</v>
      </c>
      <c r="M375">
        <v>114.3</v>
      </c>
      <c r="N375">
        <v>99</v>
      </c>
      <c r="O375">
        <v>5.14</v>
      </c>
      <c r="P375">
        <v>4.7</v>
      </c>
      <c r="Q375">
        <v>7</v>
      </c>
      <c r="R375">
        <v>1.27</v>
      </c>
      <c r="S375">
        <v>0</v>
      </c>
      <c r="T375" t="b">
        <v>0</v>
      </c>
      <c r="U375" t="str">
        <f t="shared" si="25"/>
        <v>High Usage</v>
      </c>
      <c r="V375" t="str">
        <f t="shared" si="26"/>
        <v>Normal</v>
      </c>
      <c r="W375" t="str">
        <f t="shared" si="27"/>
        <v>Stable</v>
      </c>
      <c r="X375" t="str">
        <f t="shared" si="28"/>
        <v>Low</v>
      </c>
      <c r="Y375">
        <f t="shared" si="29"/>
        <v>133</v>
      </c>
    </row>
    <row r="376" spans="1:25">
      <c r="A376" t="s">
        <v>36</v>
      </c>
      <c r="B376">
        <v>125</v>
      </c>
      <c r="C376">
        <v>408</v>
      </c>
      <c r="D376" t="s">
        <v>21</v>
      </c>
      <c r="E376" t="s">
        <v>21</v>
      </c>
      <c r="F376">
        <v>0</v>
      </c>
      <c r="G376">
        <v>191.6</v>
      </c>
      <c r="H376">
        <v>115</v>
      </c>
      <c r="I376">
        <v>32.57</v>
      </c>
      <c r="J376">
        <v>205.6</v>
      </c>
      <c r="K376">
        <v>108</v>
      </c>
      <c r="L376">
        <v>17.48</v>
      </c>
      <c r="M376">
        <v>210.2</v>
      </c>
      <c r="N376">
        <v>123</v>
      </c>
      <c r="O376">
        <v>9.4600000000000009</v>
      </c>
      <c r="P376">
        <v>9.1999999999999993</v>
      </c>
      <c r="Q376">
        <v>3</v>
      </c>
      <c r="R376">
        <v>2.48</v>
      </c>
      <c r="S376">
        <v>2</v>
      </c>
      <c r="T376" t="b">
        <v>0</v>
      </c>
      <c r="U376" t="str">
        <f t="shared" si="25"/>
        <v>Normal Usage</v>
      </c>
      <c r="V376" t="str">
        <f t="shared" si="26"/>
        <v>Normal</v>
      </c>
      <c r="W376" t="str">
        <f t="shared" si="27"/>
        <v>Stable</v>
      </c>
      <c r="X376" t="str">
        <f t="shared" si="28"/>
        <v>Low</v>
      </c>
      <c r="Y376">
        <f t="shared" si="29"/>
        <v>125</v>
      </c>
    </row>
    <row r="377" spans="1:25">
      <c r="A377" t="s">
        <v>41</v>
      </c>
      <c r="B377">
        <v>21</v>
      </c>
      <c r="C377">
        <v>510</v>
      </c>
      <c r="D377" t="s">
        <v>21</v>
      </c>
      <c r="E377" t="s">
        <v>21</v>
      </c>
      <c r="F377">
        <v>0</v>
      </c>
      <c r="G377">
        <v>225</v>
      </c>
      <c r="H377">
        <v>110</v>
      </c>
      <c r="I377">
        <v>38.25</v>
      </c>
      <c r="J377">
        <v>244.2</v>
      </c>
      <c r="K377">
        <v>111</v>
      </c>
      <c r="L377">
        <v>20.76</v>
      </c>
      <c r="M377">
        <v>221.2</v>
      </c>
      <c r="N377">
        <v>93</v>
      </c>
      <c r="O377">
        <v>9.9499999999999993</v>
      </c>
      <c r="P377">
        <v>10.7</v>
      </c>
      <c r="Q377">
        <v>4</v>
      </c>
      <c r="R377">
        <v>2.89</v>
      </c>
      <c r="S377">
        <v>0</v>
      </c>
      <c r="T377" t="b">
        <v>0</v>
      </c>
      <c r="U377" t="str">
        <f t="shared" si="25"/>
        <v>High Usage</v>
      </c>
      <c r="V377" t="str">
        <f t="shared" si="26"/>
        <v>Normal</v>
      </c>
      <c r="W377" t="str">
        <f t="shared" si="27"/>
        <v>Stable</v>
      </c>
      <c r="X377" t="str">
        <f t="shared" si="28"/>
        <v>Low</v>
      </c>
      <c r="Y377">
        <f t="shared" si="29"/>
        <v>21</v>
      </c>
    </row>
    <row r="378" spans="1:25">
      <c r="A378" t="s">
        <v>68</v>
      </c>
      <c r="B378">
        <v>110</v>
      </c>
      <c r="C378">
        <v>408</v>
      </c>
      <c r="D378" t="s">
        <v>21</v>
      </c>
      <c r="E378" t="s">
        <v>21</v>
      </c>
      <c r="F378">
        <v>0</v>
      </c>
      <c r="G378">
        <v>196.1</v>
      </c>
      <c r="H378">
        <v>103</v>
      </c>
      <c r="I378">
        <v>33.340000000000003</v>
      </c>
      <c r="J378">
        <v>199.7</v>
      </c>
      <c r="K378">
        <v>123</v>
      </c>
      <c r="L378">
        <v>16.97</v>
      </c>
      <c r="M378">
        <v>135.9</v>
      </c>
      <c r="N378">
        <v>71</v>
      </c>
      <c r="O378">
        <v>6.12</v>
      </c>
      <c r="P378">
        <v>12.9</v>
      </c>
      <c r="Q378">
        <v>1</v>
      </c>
      <c r="R378">
        <v>3.48</v>
      </c>
      <c r="S378">
        <v>3</v>
      </c>
      <c r="T378" t="b">
        <v>0</v>
      </c>
      <c r="U378" t="str">
        <f t="shared" si="25"/>
        <v>Normal Usage</v>
      </c>
      <c r="V378" t="str">
        <f t="shared" si="26"/>
        <v>Normal</v>
      </c>
      <c r="W378" t="str">
        <f t="shared" si="27"/>
        <v>Stable</v>
      </c>
      <c r="X378" t="str">
        <f t="shared" si="28"/>
        <v>Medium</v>
      </c>
      <c r="Y378">
        <f t="shared" si="29"/>
        <v>110</v>
      </c>
    </row>
    <row r="379" spans="1:25">
      <c r="A379" t="s">
        <v>45</v>
      </c>
      <c r="B379">
        <v>83</v>
      </c>
      <c r="C379">
        <v>415</v>
      </c>
      <c r="D379" t="s">
        <v>21</v>
      </c>
      <c r="E379" t="s">
        <v>21</v>
      </c>
      <c r="F379">
        <v>0</v>
      </c>
      <c r="G379">
        <v>231.3</v>
      </c>
      <c r="H379">
        <v>100</v>
      </c>
      <c r="I379">
        <v>39.32</v>
      </c>
      <c r="J379">
        <v>210.4</v>
      </c>
      <c r="K379">
        <v>84</v>
      </c>
      <c r="L379">
        <v>17.88</v>
      </c>
      <c r="M379">
        <v>217.4</v>
      </c>
      <c r="N379">
        <v>106</v>
      </c>
      <c r="O379">
        <v>9.7799999999999994</v>
      </c>
      <c r="P379">
        <v>12.4</v>
      </c>
      <c r="Q379">
        <v>2</v>
      </c>
      <c r="R379">
        <v>3.35</v>
      </c>
      <c r="S379">
        <v>3</v>
      </c>
      <c r="T379" t="b">
        <v>0</v>
      </c>
      <c r="U379" t="str">
        <f t="shared" si="25"/>
        <v>High Usage</v>
      </c>
      <c r="V379" t="str">
        <f t="shared" si="26"/>
        <v>Normal</v>
      </c>
      <c r="W379" t="str">
        <f t="shared" si="27"/>
        <v>Stable</v>
      </c>
      <c r="X379" t="str">
        <f t="shared" si="28"/>
        <v>Medium</v>
      </c>
      <c r="Y379">
        <f t="shared" si="29"/>
        <v>83</v>
      </c>
    </row>
    <row r="380" spans="1:25">
      <c r="A380" t="s">
        <v>22</v>
      </c>
      <c r="B380">
        <v>101</v>
      </c>
      <c r="C380">
        <v>415</v>
      </c>
      <c r="D380" t="s">
        <v>21</v>
      </c>
      <c r="E380" t="s">
        <v>27</v>
      </c>
      <c r="F380">
        <v>42</v>
      </c>
      <c r="G380">
        <v>209.2</v>
      </c>
      <c r="H380">
        <v>82</v>
      </c>
      <c r="I380">
        <v>35.56</v>
      </c>
      <c r="J380">
        <v>159.69999999999999</v>
      </c>
      <c r="K380">
        <v>74</v>
      </c>
      <c r="L380">
        <v>13.57</v>
      </c>
      <c r="M380">
        <v>181.6</v>
      </c>
      <c r="N380">
        <v>100</v>
      </c>
      <c r="O380">
        <v>8.17</v>
      </c>
      <c r="P380">
        <v>9.5</v>
      </c>
      <c r="Q380">
        <v>3</v>
      </c>
      <c r="R380">
        <v>2.57</v>
      </c>
      <c r="S380">
        <v>0</v>
      </c>
      <c r="T380" t="b">
        <v>0</v>
      </c>
      <c r="U380" t="str">
        <f t="shared" si="25"/>
        <v>High Usage</v>
      </c>
      <c r="V380" t="str">
        <f t="shared" si="26"/>
        <v>Normal</v>
      </c>
      <c r="W380" t="str">
        <f t="shared" si="27"/>
        <v>Stable</v>
      </c>
      <c r="X380" t="str">
        <f t="shared" si="28"/>
        <v>Low</v>
      </c>
      <c r="Y380">
        <f t="shared" si="29"/>
        <v>101</v>
      </c>
    </row>
    <row r="381" spans="1:25">
      <c r="A381" t="s">
        <v>47</v>
      </c>
      <c r="B381">
        <v>117</v>
      </c>
      <c r="C381">
        <v>415</v>
      </c>
      <c r="D381" t="s">
        <v>21</v>
      </c>
      <c r="E381" t="s">
        <v>27</v>
      </c>
      <c r="F381">
        <v>17</v>
      </c>
      <c r="G381">
        <v>221.3</v>
      </c>
      <c r="H381">
        <v>82</v>
      </c>
      <c r="I381">
        <v>37.619999999999997</v>
      </c>
      <c r="J381">
        <v>167.6</v>
      </c>
      <c r="K381">
        <v>100</v>
      </c>
      <c r="L381">
        <v>14.25</v>
      </c>
      <c r="M381">
        <v>262.7</v>
      </c>
      <c r="N381">
        <v>87</v>
      </c>
      <c r="O381">
        <v>11.82</v>
      </c>
      <c r="P381">
        <v>4.4000000000000004</v>
      </c>
      <c r="Q381">
        <v>4</v>
      </c>
      <c r="R381">
        <v>1.19</v>
      </c>
      <c r="S381">
        <v>0</v>
      </c>
      <c r="T381" t="b">
        <v>0</v>
      </c>
      <c r="U381" t="str">
        <f t="shared" si="25"/>
        <v>High Usage</v>
      </c>
      <c r="V381" t="str">
        <f t="shared" si="26"/>
        <v>Normal</v>
      </c>
      <c r="W381" t="str">
        <f t="shared" si="27"/>
        <v>Stable</v>
      </c>
      <c r="X381" t="str">
        <f t="shared" si="28"/>
        <v>Low</v>
      </c>
      <c r="Y381">
        <f t="shared" si="29"/>
        <v>117</v>
      </c>
    </row>
    <row r="382" spans="1:25">
      <c r="A382" t="s">
        <v>42</v>
      </c>
      <c r="B382">
        <v>127</v>
      </c>
      <c r="C382">
        <v>408</v>
      </c>
      <c r="D382" t="s">
        <v>21</v>
      </c>
      <c r="E382" t="s">
        <v>21</v>
      </c>
      <c r="F382">
        <v>0</v>
      </c>
      <c r="G382">
        <v>139.6</v>
      </c>
      <c r="H382">
        <v>94</v>
      </c>
      <c r="I382">
        <v>23.73</v>
      </c>
      <c r="J382">
        <v>240.9</v>
      </c>
      <c r="K382">
        <v>112</v>
      </c>
      <c r="L382">
        <v>20.48</v>
      </c>
      <c r="M382">
        <v>127.1</v>
      </c>
      <c r="N382">
        <v>88</v>
      </c>
      <c r="O382">
        <v>5.72</v>
      </c>
      <c r="P382">
        <v>8.8000000000000007</v>
      </c>
      <c r="Q382">
        <v>4</v>
      </c>
      <c r="R382">
        <v>2.38</v>
      </c>
      <c r="S382">
        <v>2</v>
      </c>
      <c r="T382" t="b">
        <v>0</v>
      </c>
      <c r="U382" t="str">
        <f t="shared" si="25"/>
        <v>Normal Usage</v>
      </c>
      <c r="V382" t="str">
        <f t="shared" si="26"/>
        <v>Normal</v>
      </c>
      <c r="W382" t="str">
        <f t="shared" si="27"/>
        <v>Stable</v>
      </c>
      <c r="X382" t="str">
        <f t="shared" si="28"/>
        <v>Low</v>
      </c>
      <c r="Y382">
        <f t="shared" si="29"/>
        <v>127</v>
      </c>
    </row>
    <row r="383" spans="1:25">
      <c r="A383" t="s">
        <v>52</v>
      </c>
      <c r="B383">
        <v>138</v>
      </c>
      <c r="C383">
        <v>510</v>
      </c>
      <c r="D383" t="s">
        <v>21</v>
      </c>
      <c r="E383" t="s">
        <v>27</v>
      </c>
      <c r="F383">
        <v>26</v>
      </c>
      <c r="G383">
        <v>183.9</v>
      </c>
      <c r="H383">
        <v>83</v>
      </c>
      <c r="I383">
        <v>31.26</v>
      </c>
      <c r="J383">
        <v>240.7</v>
      </c>
      <c r="K383">
        <v>93</v>
      </c>
      <c r="L383">
        <v>20.46</v>
      </c>
      <c r="M383">
        <v>185.7</v>
      </c>
      <c r="N383">
        <v>125</v>
      </c>
      <c r="O383">
        <v>8.36</v>
      </c>
      <c r="P383">
        <v>15</v>
      </c>
      <c r="Q383">
        <v>3</v>
      </c>
      <c r="R383">
        <v>4.05</v>
      </c>
      <c r="S383">
        <v>1</v>
      </c>
      <c r="T383" t="b">
        <v>0</v>
      </c>
      <c r="U383" t="str">
        <f t="shared" si="25"/>
        <v>Normal Usage</v>
      </c>
      <c r="V383" t="str">
        <f t="shared" si="26"/>
        <v>Normal</v>
      </c>
      <c r="W383" t="str">
        <f t="shared" si="27"/>
        <v>Stable</v>
      </c>
      <c r="X383" t="str">
        <f t="shared" si="28"/>
        <v>Low</v>
      </c>
      <c r="Y383">
        <f t="shared" si="29"/>
        <v>138</v>
      </c>
    </row>
    <row r="384" spans="1:25">
      <c r="A384" t="s">
        <v>48</v>
      </c>
      <c r="B384">
        <v>120</v>
      </c>
      <c r="C384">
        <v>415</v>
      </c>
      <c r="D384" t="s">
        <v>21</v>
      </c>
      <c r="E384" t="s">
        <v>21</v>
      </c>
      <c r="F384">
        <v>0</v>
      </c>
      <c r="G384">
        <v>203.3</v>
      </c>
      <c r="H384">
        <v>108</v>
      </c>
      <c r="I384">
        <v>34.56</v>
      </c>
      <c r="J384">
        <v>259.89999999999998</v>
      </c>
      <c r="K384">
        <v>66</v>
      </c>
      <c r="L384">
        <v>22.09</v>
      </c>
      <c r="M384">
        <v>115.9</v>
      </c>
      <c r="N384">
        <v>103</v>
      </c>
      <c r="O384">
        <v>5.22</v>
      </c>
      <c r="P384">
        <v>7.8</v>
      </c>
      <c r="Q384">
        <v>2</v>
      </c>
      <c r="R384">
        <v>2.11</v>
      </c>
      <c r="S384">
        <v>3</v>
      </c>
      <c r="T384" t="b">
        <v>0</v>
      </c>
      <c r="U384" t="str">
        <f t="shared" si="25"/>
        <v>High Usage</v>
      </c>
      <c r="V384" t="str">
        <f t="shared" si="26"/>
        <v>Normal</v>
      </c>
      <c r="W384" t="str">
        <f t="shared" si="27"/>
        <v>Stable</v>
      </c>
      <c r="X384" t="str">
        <f t="shared" si="28"/>
        <v>Medium</v>
      </c>
      <c r="Y384">
        <f t="shared" si="29"/>
        <v>120</v>
      </c>
    </row>
    <row r="385" spans="1:25">
      <c r="A385" t="s">
        <v>61</v>
      </c>
      <c r="B385">
        <v>141</v>
      </c>
      <c r="C385">
        <v>415</v>
      </c>
      <c r="D385" t="s">
        <v>21</v>
      </c>
      <c r="E385" t="s">
        <v>27</v>
      </c>
      <c r="F385">
        <v>37</v>
      </c>
      <c r="G385">
        <v>185.4</v>
      </c>
      <c r="H385">
        <v>87</v>
      </c>
      <c r="I385">
        <v>31.52</v>
      </c>
      <c r="J385">
        <v>178.5</v>
      </c>
      <c r="K385">
        <v>128</v>
      </c>
      <c r="L385">
        <v>15.17</v>
      </c>
      <c r="M385">
        <v>218.3</v>
      </c>
      <c r="N385">
        <v>107</v>
      </c>
      <c r="O385">
        <v>9.82</v>
      </c>
      <c r="P385">
        <v>8</v>
      </c>
      <c r="Q385">
        <v>3</v>
      </c>
      <c r="R385">
        <v>2.16</v>
      </c>
      <c r="S385">
        <v>4</v>
      </c>
      <c r="T385" t="b">
        <v>0</v>
      </c>
      <c r="U385" t="str">
        <f t="shared" si="25"/>
        <v>Normal Usage</v>
      </c>
      <c r="V385" t="str">
        <f t="shared" si="26"/>
        <v>Normal</v>
      </c>
      <c r="W385" t="str">
        <f t="shared" si="27"/>
        <v>Potential Churn</v>
      </c>
      <c r="X385" t="str">
        <f t="shared" si="28"/>
        <v>Medium</v>
      </c>
      <c r="Y385">
        <f t="shared" si="29"/>
        <v>141</v>
      </c>
    </row>
    <row r="386" spans="1:25">
      <c r="A386" t="s">
        <v>47</v>
      </c>
      <c r="B386">
        <v>87</v>
      </c>
      <c r="C386">
        <v>510</v>
      </c>
      <c r="D386" t="s">
        <v>21</v>
      </c>
      <c r="E386" t="s">
        <v>27</v>
      </c>
      <c r="F386">
        <v>22</v>
      </c>
      <c r="G386">
        <v>240.8</v>
      </c>
      <c r="H386">
        <v>102</v>
      </c>
      <c r="I386">
        <v>40.94</v>
      </c>
      <c r="J386">
        <v>75.900000000000006</v>
      </c>
      <c r="K386">
        <v>106</v>
      </c>
      <c r="L386">
        <v>6.45</v>
      </c>
      <c r="M386">
        <v>224.6</v>
      </c>
      <c r="N386">
        <v>115</v>
      </c>
      <c r="O386">
        <v>10.11</v>
      </c>
      <c r="P386">
        <v>7.1</v>
      </c>
      <c r="Q386">
        <v>3</v>
      </c>
      <c r="R386">
        <v>1.92</v>
      </c>
      <c r="S386">
        <v>2</v>
      </c>
      <c r="T386" t="b">
        <v>0</v>
      </c>
      <c r="U386" t="str">
        <f t="shared" si="25"/>
        <v>High Usage</v>
      </c>
      <c r="V386" t="str">
        <f t="shared" si="26"/>
        <v>Normal</v>
      </c>
      <c r="W386" t="str">
        <f t="shared" si="27"/>
        <v>Stable</v>
      </c>
      <c r="X386" t="str">
        <f t="shared" si="28"/>
        <v>Low</v>
      </c>
      <c r="Y386">
        <f t="shared" si="29"/>
        <v>87</v>
      </c>
    </row>
    <row r="387" spans="1:25">
      <c r="A387" t="s">
        <v>40</v>
      </c>
      <c r="B387">
        <v>97</v>
      </c>
      <c r="C387">
        <v>408</v>
      </c>
      <c r="D387" t="s">
        <v>21</v>
      </c>
      <c r="E387" t="s">
        <v>21</v>
      </c>
      <c r="F387">
        <v>0</v>
      </c>
      <c r="G387">
        <v>276.10000000000002</v>
      </c>
      <c r="H387">
        <v>82</v>
      </c>
      <c r="I387">
        <v>46.94</v>
      </c>
      <c r="J387">
        <v>201.1</v>
      </c>
      <c r="K387">
        <v>106</v>
      </c>
      <c r="L387">
        <v>17.09</v>
      </c>
      <c r="M387">
        <v>231.3</v>
      </c>
      <c r="N387">
        <v>73</v>
      </c>
      <c r="O387">
        <v>10.41</v>
      </c>
      <c r="P387">
        <v>8.9</v>
      </c>
      <c r="Q387">
        <v>4</v>
      </c>
      <c r="R387">
        <v>2.4</v>
      </c>
      <c r="S387">
        <v>0</v>
      </c>
      <c r="T387" t="b">
        <v>1</v>
      </c>
      <c r="U387" t="str">
        <f t="shared" ref="U387:U450" si="30">IF(G387&gt;200,"High Usage","Normal Usage")</f>
        <v>High Usage</v>
      </c>
      <c r="V387" t="str">
        <f t="shared" ref="V387:V450" si="31">IF(AND(S387&gt;3,D387="Yes"),"High Risk","Normal")</f>
        <v>Normal</v>
      </c>
      <c r="W387" t="str">
        <f t="shared" ref="W387:W450" si="32">IF(OR(S387&gt;3,G387&gt;250),"Potential Churn","Stable")</f>
        <v>Potential Churn</v>
      </c>
      <c r="X387" t="str">
        <f t="shared" ref="X387:X450" si="33">IF(S387&gt;5,"Critical",IF(S387&gt;=3,"Medium","Low"))</f>
        <v>Low</v>
      </c>
      <c r="Y387">
        <f t="shared" ref="Y387:Y450" si="34">VLOOKUP(A387,A386:U1053,2,FALSE)</f>
        <v>97</v>
      </c>
    </row>
    <row r="388" spans="1:25">
      <c r="A388" t="s">
        <v>53</v>
      </c>
      <c r="B388">
        <v>162</v>
      </c>
      <c r="C388">
        <v>408</v>
      </c>
      <c r="D388" t="s">
        <v>21</v>
      </c>
      <c r="E388" t="s">
        <v>27</v>
      </c>
      <c r="F388">
        <v>26</v>
      </c>
      <c r="G388">
        <v>179.7</v>
      </c>
      <c r="H388">
        <v>144</v>
      </c>
      <c r="I388">
        <v>30.55</v>
      </c>
      <c r="J388">
        <v>218.1</v>
      </c>
      <c r="K388">
        <v>129</v>
      </c>
      <c r="L388">
        <v>18.54</v>
      </c>
      <c r="M388">
        <v>212.3</v>
      </c>
      <c r="N388">
        <v>105</v>
      </c>
      <c r="O388">
        <v>9.5500000000000007</v>
      </c>
      <c r="P388">
        <v>9.3000000000000007</v>
      </c>
      <c r="Q388">
        <v>8</v>
      </c>
      <c r="R388">
        <v>2.5099999999999998</v>
      </c>
      <c r="S388">
        <v>1</v>
      </c>
      <c r="T388" t="b">
        <v>1</v>
      </c>
      <c r="U388" t="str">
        <f t="shared" si="30"/>
        <v>Normal Usage</v>
      </c>
      <c r="V388" t="str">
        <f t="shared" si="31"/>
        <v>Normal</v>
      </c>
      <c r="W388" t="str">
        <f t="shared" si="32"/>
        <v>Stable</v>
      </c>
      <c r="X388" t="str">
        <f t="shared" si="33"/>
        <v>Low</v>
      </c>
      <c r="Y388">
        <f t="shared" si="34"/>
        <v>162</v>
      </c>
    </row>
    <row r="389" spans="1:25">
      <c r="A389" t="s">
        <v>48</v>
      </c>
      <c r="B389">
        <v>119</v>
      </c>
      <c r="C389">
        <v>510</v>
      </c>
      <c r="D389" t="s">
        <v>21</v>
      </c>
      <c r="E389" t="s">
        <v>21</v>
      </c>
      <c r="F389">
        <v>0</v>
      </c>
      <c r="G389">
        <v>81.900000000000006</v>
      </c>
      <c r="H389">
        <v>75</v>
      </c>
      <c r="I389">
        <v>13.92</v>
      </c>
      <c r="J389">
        <v>253.8</v>
      </c>
      <c r="K389">
        <v>114</v>
      </c>
      <c r="L389">
        <v>21.57</v>
      </c>
      <c r="M389">
        <v>213.1</v>
      </c>
      <c r="N389">
        <v>125</v>
      </c>
      <c r="O389">
        <v>9.59</v>
      </c>
      <c r="P389">
        <v>8.9</v>
      </c>
      <c r="Q389">
        <v>1</v>
      </c>
      <c r="R389">
        <v>2.4</v>
      </c>
      <c r="S389">
        <v>2</v>
      </c>
      <c r="T389" t="b">
        <v>1</v>
      </c>
      <c r="U389" t="str">
        <f t="shared" si="30"/>
        <v>Normal Usage</v>
      </c>
      <c r="V389" t="str">
        <f t="shared" si="31"/>
        <v>Normal</v>
      </c>
      <c r="W389" t="str">
        <f t="shared" si="32"/>
        <v>Stable</v>
      </c>
      <c r="X389" t="str">
        <f t="shared" si="33"/>
        <v>Low</v>
      </c>
      <c r="Y389">
        <f t="shared" si="34"/>
        <v>119</v>
      </c>
    </row>
    <row r="390" spans="1:25">
      <c r="A390" t="s">
        <v>31</v>
      </c>
      <c r="B390">
        <v>107</v>
      </c>
      <c r="C390">
        <v>510</v>
      </c>
      <c r="D390" t="s">
        <v>21</v>
      </c>
      <c r="E390" t="s">
        <v>27</v>
      </c>
      <c r="F390">
        <v>25</v>
      </c>
      <c r="G390">
        <v>248.6</v>
      </c>
      <c r="H390">
        <v>91</v>
      </c>
      <c r="I390">
        <v>42.26</v>
      </c>
      <c r="J390">
        <v>119.3</v>
      </c>
      <c r="K390">
        <v>115</v>
      </c>
      <c r="L390">
        <v>10.14</v>
      </c>
      <c r="M390">
        <v>194.3</v>
      </c>
      <c r="N390">
        <v>83</v>
      </c>
      <c r="O390">
        <v>8.74</v>
      </c>
      <c r="P390">
        <v>12</v>
      </c>
      <c r="Q390">
        <v>1</v>
      </c>
      <c r="R390">
        <v>3.24</v>
      </c>
      <c r="S390">
        <v>1</v>
      </c>
      <c r="T390" t="b">
        <v>0</v>
      </c>
      <c r="U390" t="str">
        <f t="shared" si="30"/>
        <v>High Usage</v>
      </c>
      <c r="V390" t="str">
        <f t="shared" si="31"/>
        <v>Normal</v>
      </c>
      <c r="W390" t="str">
        <f t="shared" si="32"/>
        <v>Stable</v>
      </c>
      <c r="X390" t="str">
        <f t="shared" si="33"/>
        <v>Low</v>
      </c>
      <c r="Y390">
        <f t="shared" si="34"/>
        <v>107</v>
      </c>
    </row>
    <row r="391" spans="1:25">
      <c r="A391" t="s">
        <v>24</v>
      </c>
      <c r="B391">
        <v>140</v>
      </c>
      <c r="C391">
        <v>510</v>
      </c>
      <c r="D391" t="s">
        <v>21</v>
      </c>
      <c r="E391" t="s">
        <v>27</v>
      </c>
      <c r="F391">
        <v>28</v>
      </c>
      <c r="G391">
        <v>157.1</v>
      </c>
      <c r="H391">
        <v>77</v>
      </c>
      <c r="I391">
        <v>26.71</v>
      </c>
      <c r="J391">
        <v>172.4</v>
      </c>
      <c r="K391">
        <v>97</v>
      </c>
      <c r="L391">
        <v>14.65</v>
      </c>
      <c r="M391">
        <v>184.5</v>
      </c>
      <c r="N391">
        <v>94</v>
      </c>
      <c r="O391">
        <v>8.3000000000000007</v>
      </c>
      <c r="P391">
        <v>11.1</v>
      </c>
      <c r="Q391">
        <v>9</v>
      </c>
      <c r="R391">
        <v>3</v>
      </c>
      <c r="S391">
        <v>1</v>
      </c>
      <c r="T391" t="b">
        <v>0</v>
      </c>
      <c r="U391" t="str">
        <f t="shared" si="30"/>
        <v>Normal Usage</v>
      </c>
      <c r="V391" t="str">
        <f t="shared" si="31"/>
        <v>Normal</v>
      </c>
      <c r="W391" t="str">
        <f t="shared" si="32"/>
        <v>Stable</v>
      </c>
      <c r="X391" t="str">
        <f t="shared" si="33"/>
        <v>Low</v>
      </c>
      <c r="Y391">
        <f t="shared" si="34"/>
        <v>140</v>
      </c>
    </row>
    <row r="392" spans="1:25">
      <c r="A392" t="s">
        <v>54</v>
      </c>
      <c r="B392">
        <v>91</v>
      </c>
      <c r="C392">
        <v>415</v>
      </c>
      <c r="D392" t="s">
        <v>21</v>
      </c>
      <c r="E392" t="s">
        <v>21</v>
      </c>
      <c r="F392">
        <v>0</v>
      </c>
      <c r="G392">
        <v>153</v>
      </c>
      <c r="H392">
        <v>123</v>
      </c>
      <c r="I392">
        <v>26.01</v>
      </c>
      <c r="J392">
        <v>141.1</v>
      </c>
      <c r="K392">
        <v>127</v>
      </c>
      <c r="L392">
        <v>11.99</v>
      </c>
      <c r="M392">
        <v>171.5</v>
      </c>
      <c r="N392">
        <v>76</v>
      </c>
      <c r="O392">
        <v>7.72</v>
      </c>
      <c r="P392">
        <v>10.3</v>
      </c>
      <c r="Q392">
        <v>15</v>
      </c>
      <c r="R392">
        <v>2.78</v>
      </c>
      <c r="S392">
        <v>1</v>
      </c>
      <c r="T392" t="b">
        <v>1</v>
      </c>
      <c r="U392" t="str">
        <f t="shared" si="30"/>
        <v>Normal Usage</v>
      </c>
      <c r="V392" t="str">
        <f t="shared" si="31"/>
        <v>Normal</v>
      </c>
      <c r="W392" t="str">
        <f t="shared" si="32"/>
        <v>Stable</v>
      </c>
      <c r="X392" t="str">
        <f t="shared" si="33"/>
        <v>Low</v>
      </c>
      <c r="Y392">
        <f t="shared" si="34"/>
        <v>91</v>
      </c>
    </row>
    <row r="393" spans="1:25">
      <c r="A393" t="s">
        <v>42</v>
      </c>
      <c r="B393">
        <v>135</v>
      </c>
      <c r="C393">
        <v>415</v>
      </c>
      <c r="D393" t="s">
        <v>21</v>
      </c>
      <c r="E393" t="s">
        <v>21</v>
      </c>
      <c r="F393">
        <v>0</v>
      </c>
      <c r="G393">
        <v>218.8</v>
      </c>
      <c r="H393">
        <v>123</v>
      </c>
      <c r="I393">
        <v>37.200000000000003</v>
      </c>
      <c r="J393">
        <v>242.8</v>
      </c>
      <c r="K393">
        <v>64</v>
      </c>
      <c r="L393">
        <v>20.64</v>
      </c>
      <c r="M393">
        <v>85.8</v>
      </c>
      <c r="N393">
        <v>80</v>
      </c>
      <c r="O393">
        <v>3.86</v>
      </c>
      <c r="P393">
        <v>10.3</v>
      </c>
      <c r="Q393">
        <v>3</v>
      </c>
      <c r="R393">
        <v>2.78</v>
      </c>
      <c r="S393">
        <v>4</v>
      </c>
      <c r="T393" t="b">
        <v>0</v>
      </c>
      <c r="U393" t="str">
        <f t="shared" si="30"/>
        <v>High Usage</v>
      </c>
      <c r="V393" t="str">
        <f t="shared" si="31"/>
        <v>Normal</v>
      </c>
      <c r="W393" t="str">
        <f t="shared" si="32"/>
        <v>Potential Churn</v>
      </c>
      <c r="X393" t="str">
        <f t="shared" si="33"/>
        <v>Medium</v>
      </c>
      <c r="Y393">
        <f t="shared" si="34"/>
        <v>135</v>
      </c>
    </row>
    <row r="394" spans="1:25">
      <c r="A394" t="s">
        <v>25</v>
      </c>
      <c r="B394">
        <v>86</v>
      </c>
      <c r="C394">
        <v>408</v>
      </c>
      <c r="D394" t="s">
        <v>21</v>
      </c>
      <c r="E394" t="s">
        <v>27</v>
      </c>
      <c r="F394">
        <v>21</v>
      </c>
      <c r="G394">
        <v>197.9</v>
      </c>
      <c r="H394">
        <v>99</v>
      </c>
      <c r="I394">
        <v>33.64</v>
      </c>
      <c r="J394">
        <v>165.6</v>
      </c>
      <c r="K394">
        <v>100</v>
      </c>
      <c r="L394">
        <v>14.08</v>
      </c>
      <c r="M394">
        <v>208</v>
      </c>
      <c r="N394">
        <v>120</v>
      </c>
      <c r="O394">
        <v>9.36</v>
      </c>
      <c r="P394">
        <v>10.1</v>
      </c>
      <c r="Q394">
        <v>9</v>
      </c>
      <c r="R394">
        <v>2.73</v>
      </c>
      <c r="S394">
        <v>0</v>
      </c>
      <c r="T394" t="b">
        <v>0</v>
      </c>
      <c r="U394" t="str">
        <f t="shared" si="30"/>
        <v>Normal Usage</v>
      </c>
      <c r="V394" t="str">
        <f t="shared" si="31"/>
        <v>Normal</v>
      </c>
      <c r="W394" t="str">
        <f t="shared" si="32"/>
        <v>Stable</v>
      </c>
      <c r="X394" t="str">
        <f t="shared" si="33"/>
        <v>Low</v>
      </c>
      <c r="Y394">
        <f t="shared" si="34"/>
        <v>86</v>
      </c>
    </row>
    <row r="395" spans="1:25">
      <c r="A395" t="s">
        <v>36</v>
      </c>
      <c r="B395">
        <v>131</v>
      </c>
      <c r="C395">
        <v>415</v>
      </c>
      <c r="D395" t="s">
        <v>21</v>
      </c>
      <c r="E395" t="s">
        <v>21</v>
      </c>
      <c r="F395">
        <v>0</v>
      </c>
      <c r="G395">
        <v>166.5</v>
      </c>
      <c r="H395">
        <v>129</v>
      </c>
      <c r="I395">
        <v>28.31</v>
      </c>
      <c r="J395">
        <v>210.2</v>
      </c>
      <c r="K395">
        <v>107</v>
      </c>
      <c r="L395">
        <v>17.87</v>
      </c>
      <c r="M395">
        <v>257.2</v>
      </c>
      <c r="N395">
        <v>93</v>
      </c>
      <c r="O395">
        <v>11.57</v>
      </c>
      <c r="P395">
        <v>9.9</v>
      </c>
      <c r="Q395">
        <v>5</v>
      </c>
      <c r="R395">
        <v>2.67</v>
      </c>
      <c r="S395">
        <v>1</v>
      </c>
      <c r="T395" t="b">
        <v>0</v>
      </c>
      <c r="U395" t="str">
        <f t="shared" si="30"/>
        <v>Normal Usage</v>
      </c>
      <c r="V395" t="str">
        <f t="shared" si="31"/>
        <v>Normal</v>
      </c>
      <c r="W395" t="str">
        <f t="shared" si="32"/>
        <v>Stable</v>
      </c>
      <c r="X395" t="str">
        <f t="shared" si="33"/>
        <v>Low</v>
      </c>
      <c r="Y395">
        <f t="shared" si="34"/>
        <v>131</v>
      </c>
    </row>
    <row r="396" spans="1:25">
      <c r="A396" t="s">
        <v>42</v>
      </c>
      <c r="B396">
        <v>86</v>
      </c>
      <c r="C396">
        <v>415</v>
      </c>
      <c r="D396" t="s">
        <v>21</v>
      </c>
      <c r="E396" t="s">
        <v>27</v>
      </c>
      <c r="F396">
        <v>29</v>
      </c>
      <c r="G396">
        <v>225.4</v>
      </c>
      <c r="H396">
        <v>79</v>
      </c>
      <c r="I396">
        <v>38.32</v>
      </c>
      <c r="J396">
        <v>187.1</v>
      </c>
      <c r="K396">
        <v>112</v>
      </c>
      <c r="L396">
        <v>15.9</v>
      </c>
      <c r="M396">
        <v>281.10000000000002</v>
      </c>
      <c r="N396">
        <v>112</v>
      </c>
      <c r="O396">
        <v>12.65</v>
      </c>
      <c r="P396">
        <v>12.9</v>
      </c>
      <c r="Q396">
        <v>3</v>
      </c>
      <c r="R396">
        <v>3.48</v>
      </c>
      <c r="S396">
        <v>1</v>
      </c>
      <c r="T396" t="b">
        <v>0</v>
      </c>
      <c r="U396" t="str">
        <f t="shared" si="30"/>
        <v>High Usage</v>
      </c>
      <c r="V396" t="str">
        <f t="shared" si="31"/>
        <v>Normal</v>
      </c>
      <c r="W396" t="str">
        <f t="shared" si="32"/>
        <v>Stable</v>
      </c>
      <c r="X396" t="str">
        <f t="shared" si="33"/>
        <v>Low</v>
      </c>
      <c r="Y396">
        <f t="shared" si="34"/>
        <v>86</v>
      </c>
    </row>
    <row r="397" spans="1:25">
      <c r="A397" t="s">
        <v>44</v>
      </c>
      <c r="B397">
        <v>85</v>
      </c>
      <c r="C397">
        <v>415</v>
      </c>
      <c r="D397" t="s">
        <v>21</v>
      </c>
      <c r="E397" t="s">
        <v>21</v>
      </c>
      <c r="F397">
        <v>0</v>
      </c>
      <c r="G397">
        <v>210.3</v>
      </c>
      <c r="H397">
        <v>66</v>
      </c>
      <c r="I397">
        <v>35.75</v>
      </c>
      <c r="J397">
        <v>195.8</v>
      </c>
      <c r="K397">
        <v>76</v>
      </c>
      <c r="L397">
        <v>16.64</v>
      </c>
      <c r="M397">
        <v>221.6</v>
      </c>
      <c r="N397">
        <v>82</v>
      </c>
      <c r="O397">
        <v>9.9700000000000006</v>
      </c>
      <c r="P397">
        <v>11.2</v>
      </c>
      <c r="Q397">
        <v>7</v>
      </c>
      <c r="R397">
        <v>3.02</v>
      </c>
      <c r="S397">
        <v>1</v>
      </c>
      <c r="T397" t="b">
        <v>0</v>
      </c>
      <c r="U397" t="str">
        <f t="shared" si="30"/>
        <v>High Usage</v>
      </c>
      <c r="V397" t="str">
        <f t="shared" si="31"/>
        <v>Normal</v>
      </c>
      <c r="W397" t="str">
        <f t="shared" si="32"/>
        <v>Stable</v>
      </c>
      <c r="X397" t="str">
        <f t="shared" si="33"/>
        <v>Low</v>
      </c>
      <c r="Y397">
        <f t="shared" si="34"/>
        <v>85</v>
      </c>
    </row>
    <row r="398" spans="1:25">
      <c r="A398" t="s">
        <v>33</v>
      </c>
      <c r="B398">
        <v>195</v>
      </c>
      <c r="C398">
        <v>415</v>
      </c>
      <c r="D398" t="s">
        <v>21</v>
      </c>
      <c r="E398" t="s">
        <v>27</v>
      </c>
      <c r="F398">
        <v>36</v>
      </c>
      <c r="G398">
        <v>231.7</v>
      </c>
      <c r="H398">
        <v>110</v>
      </c>
      <c r="I398">
        <v>39.39</v>
      </c>
      <c r="J398">
        <v>225.1</v>
      </c>
      <c r="K398">
        <v>88</v>
      </c>
      <c r="L398">
        <v>19.13</v>
      </c>
      <c r="M398">
        <v>201.7</v>
      </c>
      <c r="N398">
        <v>89</v>
      </c>
      <c r="O398">
        <v>9.08</v>
      </c>
      <c r="P398">
        <v>12.1</v>
      </c>
      <c r="Q398">
        <v>2</v>
      </c>
      <c r="R398">
        <v>3.27</v>
      </c>
      <c r="S398">
        <v>0</v>
      </c>
      <c r="T398" t="b">
        <v>0</v>
      </c>
      <c r="U398" t="str">
        <f t="shared" si="30"/>
        <v>High Usage</v>
      </c>
      <c r="V398" t="str">
        <f t="shared" si="31"/>
        <v>Normal</v>
      </c>
      <c r="W398" t="str">
        <f t="shared" si="32"/>
        <v>Stable</v>
      </c>
      <c r="X398" t="str">
        <f t="shared" si="33"/>
        <v>Low</v>
      </c>
      <c r="Y398">
        <f t="shared" si="34"/>
        <v>195</v>
      </c>
    </row>
    <row r="399" spans="1:25">
      <c r="A399" t="s">
        <v>68</v>
      </c>
      <c r="B399">
        <v>177</v>
      </c>
      <c r="C399">
        <v>408</v>
      </c>
      <c r="D399" t="s">
        <v>21</v>
      </c>
      <c r="E399" t="s">
        <v>21</v>
      </c>
      <c r="F399">
        <v>0</v>
      </c>
      <c r="G399">
        <v>189.5</v>
      </c>
      <c r="H399">
        <v>99</v>
      </c>
      <c r="I399">
        <v>32.22</v>
      </c>
      <c r="J399">
        <v>176.3</v>
      </c>
      <c r="K399">
        <v>117</v>
      </c>
      <c r="L399">
        <v>14.99</v>
      </c>
      <c r="M399">
        <v>225.9</v>
      </c>
      <c r="N399">
        <v>112</v>
      </c>
      <c r="O399">
        <v>10.17</v>
      </c>
      <c r="P399">
        <v>14.2</v>
      </c>
      <c r="Q399">
        <v>2</v>
      </c>
      <c r="R399">
        <v>3.83</v>
      </c>
      <c r="S399">
        <v>1</v>
      </c>
      <c r="T399" t="b">
        <v>0</v>
      </c>
      <c r="U399" t="str">
        <f t="shared" si="30"/>
        <v>Normal Usage</v>
      </c>
      <c r="V399" t="str">
        <f t="shared" si="31"/>
        <v>Normal</v>
      </c>
      <c r="W399" t="str">
        <f t="shared" si="32"/>
        <v>Stable</v>
      </c>
      <c r="X399" t="str">
        <f t="shared" si="33"/>
        <v>Low</v>
      </c>
      <c r="Y399">
        <f t="shared" si="34"/>
        <v>177</v>
      </c>
    </row>
    <row r="400" spans="1:25">
      <c r="A400" t="s">
        <v>40</v>
      </c>
      <c r="B400">
        <v>100</v>
      </c>
      <c r="C400">
        <v>408</v>
      </c>
      <c r="D400" t="s">
        <v>21</v>
      </c>
      <c r="E400" t="s">
        <v>21</v>
      </c>
      <c r="F400">
        <v>0</v>
      </c>
      <c r="G400">
        <v>70.8</v>
      </c>
      <c r="H400">
        <v>94</v>
      </c>
      <c r="I400">
        <v>12.04</v>
      </c>
      <c r="J400">
        <v>215.6</v>
      </c>
      <c r="K400">
        <v>102</v>
      </c>
      <c r="L400">
        <v>18.329999999999998</v>
      </c>
      <c r="M400">
        <v>230.8</v>
      </c>
      <c r="N400">
        <v>125</v>
      </c>
      <c r="O400">
        <v>10.39</v>
      </c>
      <c r="P400">
        <v>9.5</v>
      </c>
      <c r="Q400">
        <v>1</v>
      </c>
      <c r="R400">
        <v>2.57</v>
      </c>
      <c r="S400">
        <v>6</v>
      </c>
      <c r="T400" t="b">
        <v>1</v>
      </c>
      <c r="U400" t="str">
        <f t="shared" si="30"/>
        <v>Normal Usage</v>
      </c>
      <c r="V400" t="str">
        <f t="shared" si="31"/>
        <v>Normal</v>
      </c>
      <c r="W400" t="str">
        <f t="shared" si="32"/>
        <v>Potential Churn</v>
      </c>
      <c r="X400" t="str">
        <f t="shared" si="33"/>
        <v>Critical</v>
      </c>
      <c r="Y400">
        <f t="shared" si="34"/>
        <v>100</v>
      </c>
    </row>
    <row r="401" spans="1:25">
      <c r="A401" t="s">
        <v>56</v>
      </c>
      <c r="B401">
        <v>124</v>
      </c>
      <c r="C401">
        <v>415</v>
      </c>
      <c r="D401" t="s">
        <v>21</v>
      </c>
      <c r="E401" t="s">
        <v>21</v>
      </c>
      <c r="F401">
        <v>0</v>
      </c>
      <c r="G401">
        <v>131.80000000000001</v>
      </c>
      <c r="H401">
        <v>82</v>
      </c>
      <c r="I401">
        <v>22.41</v>
      </c>
      <c r="J401">
        <v>284.3</v>
      </c>
      <c r="K401">
        <v>119</v>
      </c>
      <c r="L401">
        <v>24.17</v>
      </c>
      <c r="M401">
        <v>305.5</v>
      </c>
      <c r="N401">
        <v>101</v>
      </c>
      <c r="O401">
        <v>13.75</v>
      </c>
      <c r="P401">
        <v>11.3</v>
      </c>
      <c r="Q401">
        <v>2</v>
      </c>
      <c r="R401">
        <v>3.05</v>
      </c>
      <c r="S401">
        <v>1</v>
      </c>
      <c r="T401" t="b">
        <v>0</v>
      </c>
      <c r="U401" t="str">
        <f t="shared" si="30"/>
        <v>Normal Usage</v>
      </c>
      <c r="V401" t="str">
        <f t="shared" si="31"/>
        <v>Normal</v>
      </c>
      <c r="W401" t="str">
        <f t="shared" si="32"/>
        <v>Stable</v>
      </c>
      <c r="X401" t="str">
        <f t="shared" si="33"/>
        <v>Low</v>
      </c>
      <c r="Y401">
        <f t="shared" si="34"/>
        <v>124</v>
      </c>
    </row>
    <row r="402" spans="1:25">
      <c r="A402" t="s">
        <v>58</v>
      </c>
      <c r="B402">
        <v>81</v>
      </c>
      <c r="C402">
        <v>510</v>
      </c>
      <c r="D402" t="s">
        <v>27</v>
      </c>
      <c r="E402" t="s">
        <v>21</v>
      </c>
      <c r="F402">
        <v>0</v>
      </c>
      <c r="G402">
        <v>250.6</v>
      </c>
      <c r="H402">
        <v>85</v>
      </c>
      <c r="I402">
        <v>42.6</v>
      </c>
      <c r="J402">
        <v>187.9</v>
      </c>
      <c r="K402">
        <v>50</v>
      </c>
      <c r="L402">
        <v>15.97</v>
      </c>
      <c r="M402">
        <v>120.3</v>
      </c>
      <c r="N402">
        <v>131</v>
      </c>
      <c r="O402">
        <v>5.41</v>
      </c>
      <c r="P402">
        <v>7.8</v>
      </c>
      <c r="Q402">
        <v>5</v>
      </c>
      <c r="R402">
        <v>2.11</v>
      </c>
      <c r="S402">
        <v>1</v>
      </c>
      <c r="T402" t="b">
        <v>0</v>
      </c>
      <c r="U402" t="str">
        <f t="shared" si="30"/>
        <v>High Usage</v>
      </c>
      <c r="V402" t="str">
        <f t="shared" si="31"/>
        <v>Normal</v>
      </c>
      <c r="W402" t="str">
        <f t="shared" si="32"/>
        <v>Potential Churn</v>
      </c>
      <c r="X402" t="str">
        <f t="shared" si="33"/>
        <v>Low</v>
      </c>
      <c r="Y402">
        <f t="shared" si="34"/>
        <v>81</v>
      </c>
    </row>
    <row r="403" spans="1:25">
      <c r="A403" t="s">
        <v>25</v>
      </c>
      <c r="B403">
        <v>105</v>
      </c>
      <c r="C403">
        <v>415</v>
      </c>
      <c r="D403" t="s">
        <v>21</v>
      </c>
      <c r="E403" t="s">
        <v>21</v>
      </c>
      <c r="F403">
        <v>0</v>
      </c>
      <c r="G403">
        <v>281.3</v>
      </c>
      <c r="H403">
        <v>124</v>
      </c>
      <c r="I403">
        <v>47.82</v>
      </c>
      <c r="J403">
        <v>301.5</v>
      </c>
      <c r="K403">
        <v>96</v>
      </c>
      <c r="L403">
        <v>25.63</v>
      </c>
      <c r="M403">
        <v>202.8</v>
      </c>
      <c r="N403">
        <v>109</v>
      </c>
      <c r="O403">
        <v>9.1300000000000008</v>
      </c>
      <c r="P403">
        <v>8.6999999999999993</v>
      </c>
      <c r="Q403">
        <v>3</v>
      </c>
      <c r="R403">
        <v>2.35</v>
      </c>
      <c r="S403">
        <v>0</v>
      </c>
      <c r="T403" t="b">
        <v>1</v>
      </c>
      <c r="U403" t="str">
        <f t="shared" si="30"/>
        <v>High Usage</v>
      </c>
      <c r="V403" t="str">
        <f t="shared" si="31"/>
        <v>Normal</v>
      </c>
      <c r="W403" t="str">
        <f t="shared" si="32"/>
        <v>Potential Churn</v>
      </c>
      <c r="X403" t="str">
        <f t="shared" si="33"/>
        <v>Low</v>
      </c>
      <c r="Y403">
        <f t="shared" si="34"/>
        <v>105</v>
      </c>
    </row>
    <row r="404" spans="1:25">
      <c r="A404" t="s">
        <v>28</v>
      </c>
      <c r="B404">
        <v>126</v>
      </c>
      <c r="C404">
        <v>415</v>
      </c>
      <c r="D404" t="s">
        <v>27</v>
      </c>
      <c r="E404" t="s">
        <v>27</v>
      </c>
      <c r="F404">
        <v>26</v>
      </c>
      <c r="G404">
        <v>129.30000000000001</v>
      </c>
      <c r="H404">
        <v>123</v>
      </c>
      <c r="I404">
        <v>21.98</v>
      </c>
      <c r="J404">
        <v>176.5</v>
      </c>
      <c r="K404">
        <v>114</v>
      </c>
      <c r="L404">
        <v>15</v>
      </c>
      <c r="M404">
        <v>154.5</v>
      </c>
      <c r="N404">
        <v>102</v>
      </c>
      <c r="O404">
        <v>6.95</v>
      </c>
      <c r="P404">
        <v>9.6</v>
      </c>
      <c r="Q404">
        <v>7</v>
      </c>
      <c r="R404">
        <v>2.59</v>
      </c>
      <c r="S404">
        <v>1</v>
      </c>
      <c r="T404" t="b">
        <v>0</v>
      </c>
      <c r="U404" t="str">
        <f t="shared" si="30"/>
        <v>Normal Usage</v>
      </c>
      <c r="V404" t="str">
        <f t="shared" si="31"/>
        <v>Normal</v>
      </c>
      <c r="W404" t="str">
        <f t="shared" si="32"/>
        <v>Stable</v>
      </c>
      <c r="X404" t="str">
        <f t="shared" si="33"/>
        <v>Low</v>
      </c>
      <c r="Y404">
        <f t="shared" si="34"/>
        <v>126</v>
      </c>
    </row>
    <row r="405" spans="1:25">
      <c r="A405" t="s">
        <v>68</v>
      </c>
      <c r="B405">
        <v>71</v>
      </c>
      <c r="C405">
        <v>510</v>
      </c>
      <c r="D405" t="s">
        <v>21</v>
      </c>
      <c r="E405" t="s">
        <v>21</v>
      </c>
      <c r="F405">
        <v>0</v>
      </c>
      <c r="G405">
        <v>238</v>
      </c>
      <c r="H405">
        <v>82</v>
      </c>
      <c r="I405">
        <v>40.46</v>
      </c>
      <c r="J405">
        <v>278.5</v>
      </c>
      <c r="K405">
        <v>94</v>
      </c>
      <c r="L405">
        <v>23.67</v>
      </c>
      <c r="M405">
        <v>193.1</v>
      </c>
      <c r="N405">
        <v>134</v>
      </c>
      <c r="O405">
        <v>8.69</v>
      </c>
      <c r="P405">
        <v>11.8</v>
      </c>
      <c r="Q405">
        <v>10</v>
      </c>
      <c r="R405">
        <v>3.19</v>
      </c>
      <c r="S405">
        <v>0</v>
      </c>
      <c r="T405" t="b">
        <v>1</v>
      </c>
      <c r="U405" t="str">
        <f t="shared" si="30"/>
        <v>High Usage</v>
      </c>
      <c r="V405" t="str">
        <f t="shared" si="31"/>
        <v>Normal</v>
      </c>
      <c r="W405" t="str">
        <f t="shared" si="32"/>
        <v>Stable</v>
      </c>
      <c r="X405" t="str">
        <f t="shared" si="33"/>
        <v>Low</v>
      </c>
      <c r="Y405">
        <f t="shared" si="34"/>
        <v>71</v>
      </c>
    </row>
    <row r="406" spans="1:25">
      <c r="A406" t="s">
        <v>41</v>
      </c>
      <c r="B406">
        <v>139</v>
      </c>
      <c r="C406">
        <v>415</v>
      </c>
      <c r="D406" t="s">
        <v>21</v>
      </c>
      <c r="E406" t="s">
        <v>21</v>
      </c>
      <c r="F406">
        <v>0</v>
      </c>
      <c r="G406">
        <v>211.1</v>
      </c>
      <c r="H406">
        <v>103</v>
      </c>
      <c r="I406">
        <v>35.89</v>
      </c>
      <c r="J406">
        <v>206.9</v>
      </c>
      <c r="K406">
        <v>108</v>
      </c>
      <c r="L406">
        <v>17.59</v>
      </c>
      <c r="M406">
        <v>193.9</v>
      </c>
      <c r="N406">
        <v>70</v>
      </c>
      <c r="O406">
        <v>8.73</v>
      </c>
      <c r="P406">
        <v>5.6</v>
      </c>
      <c r="Q406">
        <v>4</v>
      </c>
      <c r="R406">
        <v>1.51</v>
      </c>
      <c r="S406">
        <v>0</v>
      </c>
      <c r="T406" t="b">
        <v>0</v>
      </c>
      <c r="U406" t="str">
        <f t="shared" si="30"/>
        <v>High Usage</v>
      </c>
      <c r="V406" t="str">
        <f t="shared" si="31"/>
        <v>Normal</v>
      </c>
      <c r="W406" t="str">
        <f t="shared" si="32"/>
        <v>Stable</v>
      </c>
      <c r="X406" t="str">
        <f t="shared" si="33"/>
        <v>Low</v>
      </c>
      <c r="Y406">
        <f t="shared" si="34"/>
        <v>139</v>
      </c>
    </row>
    <row r="407" spans="1:25">
      <c r="A407" t="s">
        <v>41</v>
      </c>
      <c r="B407">
        <v>77</v>
      </c>
      <c r="C407">
        <v>415</v>
      </c>
      <c r="D407" t="s">
        <v>21</v>
      </c>
      <c r="E407" t="s">
        <v>21</v>
      </c>
      <c r="F407">
        <v>0</v>
      </c>
      <c r="G407">
        <v>169.4</v>
      </c>
      <c r="H407">
        <v>102</v>
      </c>
      <c r="I407">
        <v>28.8</v>
      </c>
      <c r="J407">
        <v>184.9</v>
      </c>
      <c r="K407">
        <v>144</v>
      </c>
      <c r="L407">
        <v>15.72</v>
      </c>
      <c r="M407">
        <v>234.3</v>
      </c>
      <c r="N407">
        <v>89</v>
      </c>
      <c r="O407">
        <v>10.54</v>
      </c>
      <c r="P407">
        <v>2</v>
      </c>
      <c r="Q407">
        <v>7</v>
      </c>
      <c r="R407">
        <v>0.54</v>
      </c>
      <c r="S407">
        <v>1</v>
      </c>
      <c r="T407" t="b">
        <v>0</v>
      </c>
      <c r="U407" t="str">
        <f t="shared" si="30"/>
        <v>Normal Usage</v>
      </c>
      <c r="V407" t="str">
        <f t="shared" si="31"/>
        <v>Normal</v>
      </c>
      <c r="W407" t="str">
        <f t="shared" si="32"/>
        <v>Stable</v>
      </c>
      <c r="X407" t="str">
        <f t="shared" si="33"/>
        <v>Low</v>
      </c>
      <c r="Y407">
        <f t="shared" si="34"/>
        <v>139</v>
      </c>
    </row>
    <row r="408" spans="1:25">
      <c r="A408" t="s">
        <v>36</v>
      </c>
      <c r="B408">
        <v>72</v>
      </c>
      <c r="C408">
        <v>408</v>
      </c>
      <c r="D408" t="s">
        <v>21</v>
      </c>
      <c r="E408" t="s">
        <v>21</v>
      </c>
      <c r="F408">
        <v>0</v>
      </c>
      <c r="G408">
        <v>177.1</v>
      </c>
      <c r="H408">
        <v>97</v>
      </c>
      <c r="I408">
        <v>30.11</v>
      </c>
      <c r="J408">
        <v>184.7</v>
      </c>
      <c r="K408">
        <v>105</v>
      </c>
      <c r="L408">
        <v>15.7</v>
      </c>
      <c r="M408">
        <v>174.1</v>
      </c>
      <c r="N408">
        <v>94</v>
      </c>
      <c r="O408">
        <v>7.83</v>
      </c>
      <c r="P408">
        <v>8</v>
      </c>
      <c r="Q408">
        <v>6</v>
      </c>
      <c r="R408">
        <v>2.16</v>
      </c>
      <c r="S408">
        <v>1</v>
      </c>
      <c r="T408" t="b">
        <v>0</v>
      </c>
      <c r="U408" t="str">
        <f t="shared" si="30"/>
        <v>Normal Usage</v>
      </c>
      <c r="V408" t="str">
        <f t="shared" si="31"/>
        <v>Normal</v>
      </c>
      <c r="W408" t="str">
        <f t="shared" si="32"/>
        <v>Stable</v>
      </c>
      <c r="X408" t="str">
        <f t="shared" si="33"/>
        <v>Low</v>
      </c>
      <c r="Y408">
        <f t="shared" si="34"/>
        <v>72</v>
      </c>
    </row>
    <row r="409" spans="1:25">
      <c r="A409" t="s">
        <v>52</v>
      </c>
      <c r="B409">
        <v>74</v>
      </c>
      <c r="C409">
        <v>415</v>
      </c>
      <c r="D409" t="s">
        <v>21</v>
      </c>
      <c r="E409" t="s">
        <v>27</v>
      </c>
      <c r="F409">
        <v>32</v>
      </c>
      <c r="G409">
        <v>174.6</v>
      </c>
      <c r="H409">
        <v>107</v>
      </c>
      <c r="I409">
        <v>29.68</v>
      </c>
      <c r="J409">
        <v>310.60000000000002</v>
      </c>
      <c r="K409">
        <v>115</v>
      </c>
      <c r="L409">
        <v>26.4</v>
      </c>
      <c r="M409">
        <v>234.7</v>
      </c>
      <c r="N409">
        <v>92</v>
      </c>
      <c r="O409">
        <v>10.56</v>
      </c>
      <c r="P409">
        <v>9</v>
      </c>
      <c r="Q409">
        <v>4</v>
      </c>
      <c r="R409">
        <v>2.4300000000000002</v>
      </c>
      <c r="S409">
        <v>1</v>
      </c>
      <c r="T409" t="b">
        <v>0</v>
      </c>
      <c r="U409" t="str">
        <f t="shared" si="30"/>
        <v>Normal Usage</v>
      </c>
      <c r="V409" t="str">
        <f t="shared" si="31"/>
        <v>Normal</v>
      </c>
      <c r="W409" t="str">
        <f t="shared" si="32"/>
        <v>Stable</v>
      </c>
      <c r="X409" t="str">
        <f t="shared" si="33"/>
        <v>Low</v>
      </c>
      <c r="Y409">
        <f t="shared" si="34"/>
        <v>74</v>
      </c>
    </row>
    <row r="410" spans="1:25">
      <c r="A410" t="s">
        <v>68</v>
      </c>
      <c r="B410">
        <v>124</v>
      </c>
      <c r="C410">
        <v>415</v>
      </c>
      <c r="D410" t="s">
        <v>21</v>
      </c>
      <c r="E410" t="s">
        <v>21</v>
      </c>
      <c r="F410">
        <v>0</v>
      </c>
      <c r="G410">
        <v>150.30000000000001</v>
      </c>
      <c r="H410">
        <v>101</v>
      </c>
      <c r="I410">
        <v>25.55</v>
      </c>
      <c r="J410">
        <v>255.9</v>
      </c>
      <c r="K410">
        <v>112</v>
      </c>
      <c r="L410">
        <v>21.75</v>
      </c>
      <c r="M410">
        <v>136.69999999999999</v>
      </c>
      <c r="N410">
        <v>62</v>
      </c>
      <c r="O410">
        <v>6.15</v>
      </c>
      <c r="P410">
        <v>12.5</v>
      </c>
      <c r="Q410">
        <v>4</v>
      </c>
      <c r="R410">
        <v>3.38</v>
      </c>
      <c r="S410">
        <v>2</v>
      </c>
      <c r="T410" t="b">
        <v>0</v>
      </c>
      <c r="U410" t="str">
        <f t="shared" si="30"/>
        <v>Normal Usage</v>
      </c>
      <c r="V410" t="str">
        <f t="shared" si="31"/>
        <v>Normal</v>
      </c>
      <c r="W410" t="str">
        <f t="shared" si="32"/>
        <v>Stable</v>
      </c>
      <c r="X410" t="str">
        <f t="shared" si="33"/>
        <v>Low</v>
      </c>
      <c r="Y410">
        <f t="shared" si="34"/>
        <v>124</v>
      </c>
    </row>
    <row r="411" spans="1:25">
      <c r="A411" t="s">
        <v>36</v>
      </c>
      <c r="B411">
        <v>113</v>
      </c>
      <c r="C411">
        <v>408</v>
      </c>
      <c r="D411" t="s">
        <v>21</v>
      </c>
      <c r="E411" t="s">
        <v>27</v>
      </c>
      <c r="F411">
        <v>20</v>
      </c>
      <c r="G411">
        <v>157.80000000000001</v>
      </c>
      <c r="H411">
        <v>83</v>
      </c>
      <c r="I411">
        <v>26.83</v>
      </c>
      <c r="J411">
        <v>161.5</v>
      </c>
      <c r="K411">
        <v>56</v>
      </c>
      <c r="L411">
        <v>13.73</v>
      </c>
      <c r="M411">
        <v>271.5</v>
      </c>
      <c r="N411">
        <v>100</v>
      </c>
      <c r="O411">
        <v>12.22</v>
      </c>
      <c r="P411">
        <v>8.6999999999999993</v>
      </c>
      <c r="Q411">
        <v>2</v>
      </c>
      <c r="R411">
        <v>2.35</v>
      </c>
      <c r="S411">
        <v>5</v>
      </c>
      <c r="T411" t="b">
        <v>1</v>
      </c>
      <c r="U411" t="str">
        <f t="shared" si="30"/>
        <v>Normal Usage</v>
      </c>
      <c r="V411" t="str">
        <f t="shared" si="31"/>
        <v>Normal</v>
      </c>
      <c r="W411" t="str">
        <f t="shared" si="32"/>
        <v>Potential Churn</v>
      </c>
      <c r="X411" t="str">
        <f t="shared" si="33"/>
        <v>Medium</v>
      </c>
      <c r="Y411">
        <f t="shared" si="34"/>
        <v>113</v>
      </c>
    </row>
    <row r="412" spans="1:25">
      <c r="A412" t="s">
        <v>62</v>
      </c>
      <c r="B412">
        <v>66</v>
      </c>
      <c r="C412">
        <v>510</v>
      </c>
      <c r="D412" t="s">
        <v>21</v>
      </c>
      <c r="E412" t="s">
        <v>21</v>
      </c>
      <c r="F412">
        <v>0</v>
      </c>
      <c r="G412">
        <v>118</v>
      </c>
      <c r="H412">
        <v>133</v>
      </c>
      <c r="I412">
        <v>20.059999999999999</v>
      </c>
      <c r="J412">
        <v>248.1</v>
      </c>
      <c r="K412">
        <v>99</v>
      </c>
      <c r="L412">
        <v>21.09</v>
      </c>
      <c r="M412">
        <v>214.4</v>
      </c>
      <c r="N412">
        <v>122</v>
      </c>
      <c r="O412">
        <v>9.65</v>
      </c>
      <c r="P412">
        <v>5.3</v>
      </c>
      <c r="Q412">
        <v>5</v>
      </c>
      <c r="R412">
        <v>1.43</v>
      </c>
      <c r="S412">
        <v>1</v>
      </c>
      <c r="T412" t="b">
        <v>0</v>
      </c>
      <c r="U412" t="str">
        <f t="shared" si="30"/>
        <v>Normal Usage</v>
      </c>
      <c r="V412" t="str">
        <f t="shared" si="31"/>
        <v>Normal</v>
      </c>
      <c r="W412" t="str">
        <f t="shared" si="32"/>
        <v>Stable</v>
      </c>
      <c r="X412" t="str">
        <f t="shared" si="33"/>
        <v>Low</v>
      </c>
      <c r="Y412">
        <f t="shared" si="34"/>
        <v>66</v>
      </c>
    </row>
    <row r="413" spans="1:25">
      <c r="A413" t="s">
        <v>34</v>
      </c>
      <c r="B413">
        <v>124</v>
      </c>
      <c r="C413">
        <v>415</v>
      </c>
      <c r="D413" t="s">
        <v>21</v>
      </c>
      <c r="E413" t="s">
        <v>27</v>
      </c>
      <c r="F413">
        <v>30</v>
      </c>
      <c r="G413">
        <v>144.5</v>
      </c>
      <c r="H413">
        <v>35</v>
      </c>
      <c r="I413">
        <v>24.57</v>
      </c>
      <c r="J413">
        <v>262.3</v>
      </c>
      <c r="K413">
        <v>101</v>
      </c>
      <c r="L413">
        <v>22.3</v>
      </c>
      <c r="M413">
        <v>226.5</v>
      </c>
      <c r="N413">
        <v>82</v>
      </c>
      <c r="O413">
        <v>10.19</v>
      </c>
      <c r="P413">
        <v>12</v>
      </c>
      <c r="Q413">
        <v>7</v>
      </c>
      <c r="R413">
        <v>3.24</v>
      </c>
      <c r="S413">
        <v>2</v>
      </c>
      <c r="T413" t="b">
        <v>0</v>
      </c>
      <c r="U413" t="str">
        <f t="shared" si="30"/>
        <v>Normal Usage</v>
      </c>
      <c r="V413" t="str">
        <f t="shared" si="31"/>
        <v>Normal</v>
      </c>
      <c r="W413" t="str">
        <f t="shared" si="32"/>
        <v>Stable</v>
      </c>
      <c r="X413" t="str">
        <f t="shared" si="33"/>
        <v>Low</v>
      </c>
      <c r="Y413">
        <f t="shared" si="34"/>
        <v>124</v>
      </c>
    </row>
    <row r="414" spans="1:25">
      <c r="A414" t="s">
        <v>63</v>
      </c>
      <c r="B414">
        <v>134</v>
      </c>
      <c r="C414">
        <v>408</v>
      </c>
      <c r="D414" t="s">
        <v>21</v>
      </c>
      <c r="E414" t="s">
        <v>21</v>
      </c>
      <c r="F414">
        <v>0</v>
      </c>
      <c r="G414">
        <v>183.8</v>
      </c>
      <c r="H414">
        <v>111</v>
      </c>
      <c r="I414">
        <v>31.25</v>
      </c>
      <c r="J414">
        <v>123.5</v>
      </c>
      <c r="K414">
        <v>92</v>
      </c>
      <c r="L414">
        <v>10.5</v>
      </c>
      <c r="M414">
        <v>160.69999999999999</v>
      </c>
      <c r="N414">
        <v>105</v>
      </c>
      <c r="O414">
        <v>7.23</v>
      </c>
      <c r="P414">
        <v>6.1</v>
      </c>
      <c r="Q414">
        <v>2</v>
      </c>
      <c r="R414">
        <v>1.65</v>
      </c>
      <c r="S414">
        <v>1</v>
      </c>
      <c r="T414" t="b">
        <v>0</v>
      </c>
      <c r="U414" t="str">
        <f t="shared" si="30"/>
        <v>Normal Usage</v>
      </c>
      <c r="V414" t="str">
        <f t="shared" si="31"/>
        <v>Normal</v>
      </c>
      <c r="W414" t="str">
        <f t="shared" si="32"/>
        <v>Stable</v>
      </c>
      <c r="X414" t="str">
        <f t="shared" si="33"/>
        <v>Low</v>
      </c>
      <c r="Y414">
        <f t="shared" si="34"/>
        <v>134</v>
      </c>
    </row>
    <row r="415" spans="1:25">
      <c r="A415" t="s">
        <v>62</v>
      </c>
      <c r="B415">
        <v>41</v>
      </c>
      <c r="C415">
        <v>415</v>
      </c>
      <c r="D415" t="s">
        <v>21</v>
      </c>
      <c r="E415" t="s">
        <v>27</v>
      </c>
      <c r="F415">
        <v>30</v>
      </c>
      <c r="G415">
        <v>191.7</v>
      </c>
      <c r="H415">
        <v>109</v>
      </c>
      <c r="I415">
        <v>32.590000000000003</v>
      </c>
      <c r="J415">
        <v>193</v>
      </c>
      <c r="K415">
        <v>86</v>
      </c>
      <c r="L415">
        <v>16.41</v>
      </c>
      <c r="M415">
        <v>149.4</v>
      </c>
      <c r="N415">
        <v>93</v>
      </c>
      <c r="O415">
        <v>6.72</v>
      </c>
      <c r="P415">
        <v>11.1</v>
      </c>
      <c r="Q415">
        <v>4</v>
      </c>
      <c r="R415">
        <v>3</v>
      </c>
      <c r="S415">
        <v>1</v>
      </c>
      <c r="T415" t="b">
        <v>0</v>
      </c>
      <c r="U415" t="str">
        <f t="shared" si="30"/>
        <v>Normal Usage</v>
      </c>
      <c r="V415" t="str">
        <f t="shared" si="31"/>
        <v>Normal</v>
      </c>
      <c r="W415" t="str">
        <f t="shared" si="32"/>
        <v>Stable</v>
      </c>
      <c r="X415" t="str">
        <f t="shared" si="33"/>
        <v>Low</v>
      </c>
      <c r="Y415">
        <f t="shared" si="34"/>
        <v>41</v>
      </c>
    </row>
    <row r="416" spans="1:25">
      <c r="A416" t="s">
        <v>24</v>
      </c>
      <c r="B416">
        <v>159</v>
      </c>
      <c r="C416">
        <v>415</v>
      </c>
      <c r="D416" t="s">
        <v>21</v>
      </c>
      <c r="E416" t="s">
        <v>27</v>
      </c>
      <c r="F416">
        <v>23</v>
      </c>
      <c r="G416">
        <v>153.6</v>
      </c>
      <c r="H416">
        <v>93</v>
      </c>
      <c r="I416">
        <v>26.11</v>
      </c>
      <c r="J416">
        <v>216.9</v>
      </c>
      <c r="K416">
        <v>88</v>
      </c>
      <c r="L416">
        <v>18.440000000000001</v>
      </c>
      <c r="M416">
        <v>161.30000000000001</v>
      </c>
      <c r="N416">
        <v>91</v>
      </c>
      <c r="O416">
        <v>7.26</v>
      </c>
      <c r="P416">
        <v>12.6</v>
      </c>
      <c r="Q416">
        <v>3</v>
      </c>
      <c r="R416">
        <v>3.4</v>
      </c>
      <c r="S416">
        <v>2</v>
      </c>
      <c r="T416" t="b">
        <v>0</v>
      </c>
      <c r="U416" t="str">
        <f t="shared" si="30"/>
        <v>Normal Usage</v>
      </c>
      <c r="V416" t="str">
        <f t="shared" si="31"/>
        <v>Normal</v>
      </c>
      <c r="W416" t="str">
        <f t="shared" si="32"/>
        <v>Stable</v>
      </c>
      <c r="X416" t="str">
        <f t="shared" si="33"/>
        <v>Low</v>
      </c>
      <c r="Y416">
        <f t="shared" si="34"/>
        <v>159</v>
      </c>
    </row>
    <row r="417" spans="1:25">
      <c r="A417" t="s">
        <v>63</v>
      </c>
      <c r="B417">
        <v>87</v>
      </c>
      <c r="C417">
        <v>408</v>
      </c>
      <c r="D417" t="s">
        <v>27</v>
      </c>
      <c r="E417" t="s">
        <v>27</v>
      </c>
      <c r="F417">
        <v>36</v>
      </c>
      <c r="G417">
        <v>171.2</v>
      </c>
      <c r="H417">
        <v>138</v>
      </c>
      <c r="I417">
        <v>29.1</v>
      </c>
      <c r="J417">
        <v>185.8</v>
      </c>
      <c r="K417">
        <v>102</v>
      </c>
      <c r="L417">
        <v>15.79</v>
      </c>
      <c r="M417">
        <v>227.6</v>
      </c>
      <c r="N417">
        <v>97</v>
      </c>
      <c r="O417">
        <v>10.24</v>
      </c>
      <c r="P417">
        <v>10.8</v>
      </c>
      <c r="Q417">
        <v>3</v>
      </c>
      <c r="R417">
        <v>2.92</v>
      </c>
      <c r="S417">
        <v>1</v>
      </c>
      <c r="T417" t="b">
        <v>0</v>
      </c>
      <c r="U417" t="str">
        <f t="shared" si="30"/>
        <v>Normal Usage</v>
      </c>
      <c r="V417" t="str">
        <f t="shared" si="31"/>
        <v>Normal</v>
      </c>
      <c r="W417" t="str">
        <f t="shared" si="32"/>
        <v>Stable</v>
      </c>
      <c r="X417" t="str">
        <f t="shared" si="33"/>
        <v>Low</v>
      </c>
      <c r="Y417">
        <f t="shared" si="34"/>
        <v>87</v>
      </c>
    </row>
    <row r="418" spans="1:25">
      <c r="A418" t="s">
        <v>40</v>
      </c>
      <c r="B418">
        <v>132</v>
      </c>
      <c r="C418">
        <v>415</v>
      </c>
      <c r="D418" t="s">
        <v>21</v>
      </c>
      <c r="E418" t="s">
        <v>21</v>
      </c>
      <c r="F418">
        <v>0</v>
      </c>
      <c r="G418">
        <v>240.1</v>
      </c>
      <c r="H418">
        <v>115</v>
      </c>
      <c r="I418">
        <v>40.82</v>
      </c>
      <c r="J418">
        <v>180.4</v>
      </c>
      <c r="K418">
        <v>91</v>
      </c>
      <c r="L418">
        <v>15.33</v>
      </c>
      <c r="M418">
        <v>133.4</v>
      </c>
      <c r="N418">
        <v>122</v>
      </c>
      <c r="O418">
        <v>6</v>
      </c>
      <c r="P418">
        <v>8</v>
      </c>
      <c r="Q418">
        <v>6</v>
      </c>
      <c r="R418">
        <v>2.16</v>
      </c>
      <c r="S418">
        <v>3</v>
      </c>
      <c r="T418" t="b">
        <v>0</v>
      </c>
      <c r="U418" t="str">
        <f t="shared" si="30"/>
        <v>High Usage</v>
      </c>
      <c r="V418" t="str">
        <f t="shared" si="31"/>
        <v>Normal</v>
      </c>
      <c r="W418" t="str">
        <f t="shared" si="32"/>
        <v>Stable</v>
      </c>
      <c r="X418" t="str">
        <f t="shared" si="33"/>
        <v>Medium</v>
      </c>
      <c r="Y418">
        <f t="shared" si="34"/>
        <v>132</v>
      </c>
    </row>
    <row r="419" spans="1:25">
      <c r="A419" t="s">
        <v>41</v>
      </c>
      <c r="B419">
        <v>86</v>
      </c>
      <c r="C419">
        <v>408</v>
      </c>
      <c r="D419" t="s">
        <v>21</v>
      </c>
      <c r="E419" t="s">
        <v>21</v>
      </c>
      <c r="F419">
        <v>0</v>
      </c>
      <c r="G419">
        <v>83.8</v>
      </c>
      <c r="H419">
        <v>121</v>
      </c>
      <c r="I419">
        <v>14.25</v>
      </c>
      <c r="J419">
        <v>240.2</v>
      </c>
      <c r="K419">
        <v>96</v>
      </c>
      <c r="L419">
        <v>20.420000000000002</v>
      </c>
      <c r="M419">
        <v>158.6</v>
      </c>
      <c r="N419">
        <v>108</v>
      </c>
      <c r="O419">
        <v>7.14</v>
      </c>
      <c r="P419">
        <v>6.7</v>
      </c>
      <c r="Q419">
        <v>8</v>
      </c>
      <c r="R419">
        <v>1.81</v>
      </c>
      <c r="S419">
        <v>1</v>
      </c>
      <c r="T419" t="b">
        <v>0</v>
      </c>
      <c r="U419" t="str">
        <f t="shared" si="30"/>
        <v>Normal Usage</v>
      </c>
      <c r="V419" t="str">
        <f t="shared" si="31"/>
        <v>Normal</v>
      </c>
      <c r="W419" t="str">
        <f t="shared" si="32"/>
        <v>Stable</v>
      </c>
      <c r="X419" t="str">
        <f t="shared" si="33"/>
        <v>Low</v>
      </c>
      <c r="Y419">
        <f t="shared" si="34"/>
        <v>86</v>
      </c>
    </row>
    <row r="420" spans="1:25">
      <c r="A420" t="s">
        <v>63</v>
      </c>
      <c r="B420">
        <v>55</v>
      </c>
      <c r="C420">
        <v>415</v>
      </c>
      <c r="D420" t="s">
        <v>27</v>
      </c>
      <c r="E420" t="s">
        <v>21</v>
      </c>
      <c r="F420">
        <v>0</v>
      </c>
      <c r="G420">
        <v>269.60000000000002</v>
      </c>
      <c r="H420">
        <v>121</v>
      </c>
      <c r="I420">
        <v>45.83</v>
      </c>
      <c r="J420">
        <v>171.7</v>
      </c>
      <c r="K420">
        <v>91</v>
      </c>
      <c r="L420">
        <v>14.59</v>
      </c>
      <c r="M420">
        <v>219</v>
      </c>
      <c r="N420">
        <v>98</v>
      </c>
      <c r="O420">
        <v>9.86</v>
      </c>
      <c r="P420">
        <v>8.1999999999999993</v>
      </c>
      <c r="Q420">
        <v>6</v>
      </c>
      <c r="R420">
        <v>2.21</v>
      </c>
      <c r="S420">
        <v>1</v>
      </c>
      <c r="T420" t="b">
        <v>0</v>
      </c>
      <c r="U420" t="str">
        <f t="shared" si="30"/>
        <v>High Usage</v>
      </c>
      <c r="V420" t="str">
        <f t="shared" si="31"/>
        <v>Normal</v>
      </c>
      <c r="W420" t="str">
        <f t="shared" si="32"/>
        <v>Potential Churn</v>
      </c>
      <c r="X420" t="str">
        <f t="shared" si="33"/>
        <v>Low</v>
      </c>
      <c r="Y420">
        <f t="shared" si="34"/>
        <v>55</v>
      </c>
    </row>
    <row r="421" spans="1:25">
      <c r="A421" t="s">
        <v>33</v>
      </c>
      <c r="B421">
        <v>101</v>
      </c>
      <c r="C421">
        <v>415</v>
      </c>
      <c r="D421" t="s">
        <v>21</v>
      </c>
      <c r="E421" t="s">
        <v>21</v>
      </c>
      <c r="F421">
        <v>0</v>
      </c>
      <c r="G421">
        <v>136.19999999999999</v>
      </c>
      <c r="H421">
        <v>92</v>
      </c>
      <c r="I421">
        <v>23.15</v>
      </c>
      <c r="J421">
        <v>220.9</v>
      </c>
      <c r="K421">
        <v>110</v>
      </c>
      <c r="L421">
        <v>18.78</v>
      </c>
      <c r="M421">
        <v>196.9</v>
      </c>
      <c r="N421">
        <v>116</v>
      </c>
      <c r="O421">
        <v>8.86</v>
      </c>
      <c r="P421">
        <v>13.3</v>
      </c>
      <c r="Q421">
        <v>7</v>
      </c>
      <c r="R421">
        <v>3.59</v>
      </c>
      <c r="S421">
        <v>3</v>
      </c>
      <c r="T421" t="b">
        <v>0</v>
      </c>
      <c r="U421" t="str">
        <f t="shared" si="30"/>
        <v>Normal Usage</v>
      </c>
      <c r="V421" t="str">
        <f t="shared" si="31"/>
        <v>Normal</v>
      </c>
      <c r="W421" t="str">
        <f t="shared" si="32"/>
        <v>Stable</v>
      </c>
      <c r="X421" t="str">
        <f t="shared" si="33"/>
        <v>Medium</v>
      </c>
      <c r="Y421">
        <f t="shared" si="34"/>
        <v>101</v>
      </c>
    </row>
    <row r="422" spans="1:25">
      <c r="A422" t="s">
        <v>52</v>
      </c>
      <c r="B422">
        <v>94</v>
      </c>
      <c r="C422">
        <v>408</v>
      </c>
      <c r="D422" t="s">
        <v>21</v>
      </c>
      <c r="E422" t="s">
        <v>21</v>
      </c>
      <c r="F422">
        <v>0</v>
      </c>
      <c r="G422">
        <v>269.2</v>
      </c>
      <c r="H422">
        <v>104</v>
      </c>
      <c r="I422">
        <v>45.76</v>
      </c>
      <c r="J422">
        <v>193.8</v>
      </c>
      <c r="K422">
        <v>144</v>
      </c>
      <c r="L422">
        <v>16.47</v>
      </c>
      <c r="M422">
        <v>257.60000000000002</v>
      </c>
      <c r="N422">
        <v>61</v>
      </c>
      <c r="O422">
        <v>11.59</v>
      </c>
      <c r="P422">
        <v>8.9</v>
      </c>
      <c r="Q422">
        <v>2</v>
      </c>
      <c r="R422">
        <v>2.4</v>
      </c>
      <c r="S422">
        <v>3</v>
      </c>
      <c r="T422" t="b">
        <v>1</v>
      </c>
      <c r="U422" t="str">
        <f t="shared" si="30"/>
        <v>High Usage</v>
      </c>
      <c r="V422" t="str">
        <f t="shared" si="31"/>
        <v>Normal</v>
      </c>
      <c r="W422" t="str">
        <f t="shared" si="32"/>
        <v>Potential Churn</v>
      </c>
      <c r="X422" t="str">
        <f t="shared" si="33"/>
        <v>Medium</v>
      </c>
      <c r="Y422">
        <f t="shared" si="34"/>
        <v>94</v>
      </c>
    </row>
    <row r="423" spans="1:25">
      <c r="A423" t="s">
        <v>68</v>
      </c>
      <c r="B423">
        <v>68</v>
      </c>
      <c r="C423">
        <v>408</v>
      </c>
      <c r="D423" t="s">
        <v>21</v>
      </c>
      <c r="E423" t="s">
        <v>21</v>
      </c>
      <c r="F423">
        <v>0</v>
      </c>
      <c r="G423">
        <v>219.6</v>
      </c>
      <c r="H423">
        <v>97</v>
      </c>
      <c r="I423">
        <v>37.33</v>
      </c>
      <c r="J423">
        <v>141.1</v>
      </c>
      <c r="K423">
        <v>144</v>
      </c>
      <c r="L423">
        <v>11.99</v>
      </c>
      <c r="M423">
        <v>205.7</v>
      </c>
      <c r="N423">
        <v>101</v>
      </c>
      <c r="O423">
        <v>9.26</v>
      </c>
      <c r="P423">
        <v>10.8</v>
      </c>
      <c r="Q423">
        <v>4</v>
      </c>
      <c r="R423">
        <v>2.92</v>
      </c>
      <c r="S423">
        <v>2</v>
      </c>
      <c r="T423" t="b">
        <v>0</v>
      </c>
      <c r="U423" t="str">
        <f t="shared" si="30"/>
        <v>High Usage</v>
      </c>
      <c r="V423" t="str">
        <f t="shared" si="31"/>
        <v>Normal</v>
      </c>
      <c r="W423" t="str">
        <f t="shared" si="32"/>
        <v>Stable</v>
      </c>
      <c r="X423" t="str">
        <f t="shared" si="33"/>
        <v>Low</v>
      </c>
      <c r="Y423">
        <f t="shared" si="34"/>
        <v>68</v>
      </c>
    </row>
    <row r="424" spans="1:25">
      <c r="A424" t="s">
        <v>37</v>
      </c>
      <c r="B424">
        <v>98</v>
      </c>
      <c r="C424">
        <v>408</v>
      </c>
      <c r="D424" t="s">
        <v>21</v>
      </c>
      <c r="E424" t="s">
        <v>21</v>
      </c>
      <c r="F424">
        <v>0</v>
      </c>
      <c r="G424">
        <v>236.2</v>
      </c>
      <c r="H424">
        <v>122</v>
      </c>
      <c r="I424">
        <v>40.15</v>
      </c>
      <c r="J424">
        <v>189.4</v>
      </c>
      <c r="K424">
        <v>110</v>
      </c>
      <c r="L424">
        <v>16.100000000000001</v>
      </c>
      <c r="M424">
        <v>153.6</v>
      </c>
      <c r="N424">
        <v>104</v>
      </c>
      <c r="O424">
        <v>6.91</v>
      </c>
      <c r="P424">
        <v>13.3</v>
      </c>
      <c r="Q424">
        <v>4</v>
      </c>
      <c r="R424">
        <v>3.59</v>
      </c>
      <c r="S424">
        <v>0</v>
      </c>
      <c r="T424" t="b">
        <v>0</v>
      </c>
      <c r="U424" t="str">
        <f t="shared" si="30"/>
        <v>High Usage</v>
      </c>
      <c r="V424" t="str">
        <f t="shared" si="31"/>
        <v>Normal</v>
      </c>
      <c r="W424" t="str">
        <f t="shared" si="32"/>
        <v>Stable</v>
      </c>
      <c r="X424" t="str">
        <f t="shared" si="33"/>
        <v>Low</v>
      </c>
      <c r="Y424">
        <f t="shared" si="34"/>
        <v>98</v>
      </c>
    </row>
    <row r="425" spans="1:25">
      <c r="A425" t="s">
        <v>48</v>
      </c>
      <c r="B425">
        <v>123</v>
      </c>
      <c r="C425">
        <v>408</v>
      </c>
      <c r="D425" t="s">
        <v>21</v>
      </c>
      <c r="E425" t="s">
        <v>21</v>
      </c>
      <c r="F425">
        <v>0</v>
      </c>
      <c r="G425">
        <v>260.89999999999998</v>
      </c>
      <c r="H425">
        <v>85</v>
      </c>
      <c r="I425">
        <v>44.35</v>
      </c>
      <c r="J425">
        <v>168.5</v>
      </c>
      <c r="K425">
        <v>103</v>
      </c>
      <c r="L425">
        <v>14.32</v>
      </c>
      <c r="M425">
        <v>178.3</v>
      </c>
      <c r="N425">
        <v>91</v>
      </c>
      <c r="O425">
        <v>8.02</v>
      </c>
      <c r="P425">
        <v>13.3</v>
      </c>
      <c r="Q425">
        <v>5</v>
      </c>
      <c r="R425">
        <v>3.59</v>
      </c>
      <c r="S425">
        <v>3</v>
      </c>
      <c r="T425" t="b">
        <v>0</v>
      </c>
      <c r="U425" t="str">
        <f t="shared" si="30"/>
        <v>High Usage</v>
      </c>
      <c r="V425" t="str">
        <f t="shared" si="31"/>
        <v>Normal</v>
      </c>
      <c r="W425" t="str">
        <f t="shared" si="32"/>
        <v>Potential Churn</v>
      </c>
      <c r="X425" t="str">
        <f t="shared" si="33"/>
        <v>Medium</v>
      </c>
      <c r="Y425">
        <f t="shared" si="34"/>
        <v>123</v>
      </c>
    </row>
    <row r="426" spans="1:25">
      <c r="A426" t="s">
        <v>39</v>
      </c>
      <c r="B426">
        <v>111</v>
      </c>
      <c r="C426">
        <v>408</v>
      </c>
      <c r="D426" t="s">
        <v>21</v>
      </c>
      <c r="E426" t="s">
        <v>21</v>
      </c>
      <c r="F426">
        <v>0</v>
      </c>
      <c r="G426">
        <v>249.8</v>
      </c>
      <c r="H426">
        <v>109</v>
      </c>
      <c r="I426">
        <v>42.47</v>
      </c>
      <c r="J426">
        <v>242.4</v>
      </c>
      <c r="K426">
        <v>106</v>
      </c>
      <c r="L426">
        <v>20.6</v>
      </c>
      <c r="M426">
        <v>231.8</v>
      </c>
      <c r="N426">
        <v>78</v>
      </c>
      <c r="O426">
        <v>10.43</v>
      </c>
      <c r="P426">
        <v>11.6</v>
      </c>
      <c r="Q426">
        <v>4</v>
      </c>
      <c r="R426">
        <v>3.13</v>
      </c>
      <c r="S426">
        <v>0</v>
      </c>
      <c r="T426" t="b">
        <v>1</v>
      </c>
      <c r="U426" t="str">
        <f t="shared" si="30"/>
        <v>High Usage</v>
      </c>
      <c r="V426" t="str">
        <f t="shared" si="31"/>
        <v>Normal</v>
      </c>
      <c r="W426" t="str">
        <f t="shared" si="32"/>
        <v>Stable</v>
      </c>
      <c r="X426" t="str">
        <f t="shared" si="33"/>
        <v>Low</v>
      </c>
      <c r="Y426">
        <f t="shared" si="34"/>
        <v>111</v>
      </c>
    </row>
    <row r="427" spans="1:25">
      <c r="A427" t="s">
        <v>49</v>
      </c>
      <c r="B427">
        <v>69</v>
      </c>
      <c r="C427">
        <v>510</v>
      </c>
      <c r="D427" t="s">
        <v>21</v>
      </c>
      <c r="E427" t="s">
        <v>27</v>
      </c>
      <c r="F427">
        <v>27</v>
      </c>
      <c r="G427">
        <v>268.8</v>
      </c>
      <c r="H427">
        <v>78</v>
      </c>
      <c r="I427">
        <v>45.7</v>
      </c>
      <c r="J427">
        <v>246.6</v>
      </c>
      <c r="K427">
        <v>89</v>
      </c>
      <c r="L427">
        <v>20.96</v>
      </c>
      <c r="M427">
        <v>271.89999999999998</v>
      </c>
      <c r="N427">
        <v>102</v>
      </c>
      <c r="O427">
        <v>12.24</v>
      </c>
      <c r="P427">
        <v>16.399999999999999</v>
      </c>
      <c r="Q427">
        <v>3</v>
      </c>
      <c r="R427">
        <v>4.43</v>
      </c>
      <c r="S427">
        <v>0</v>
      </c>
      <c r="T427" t="b">
        <v>0</v>
      </c>
      <c r="U427" t="str">
        <f t="shared" si="30"/>
        <v>High Usage</v>
      </c>
      <c r="V427" t="str">
        <f t="shared" si="31"/>
        <v>Normal</v>
      </c>
      <c r="W427" t="str">
        <f t="shared" si="32"/>
        <v>Potential Churn</v>
      </c>
      <c r="X427" t="str">
        <f t="shared" si="33"/>
        <v>Low</v>
      </c>
      <c r="Y427">
        <f t="shared" si="34"/>
        <v>69</v>
      </c>
    </row>
    <row r="428" spans="1:25">
      <c r="A428" t="s">
        <v>57</v>
      </c>
      <c r="B428">
        <v>127</v>
      </c>
      <c r="C428">
        <v>415</v>
      </c>
      <c r="D428" t="s">
        <v>21</v>
      </c>
      <c r="E428" t="s">
        <v>27</v>
      </c>
      <c r="F428">
        <v>27</v>
      </c>
      <c r="G428">
        <v>140.1</v>
      </c>
      <c r="H428">
        <v>59</v>
      </c>
      <c r="I428">
        <v>23.82</v>
      </c>
      <c r="J428">
        <v>223.4</v>
      </c>
      <c r="K428">
        <v>111</v>
      </c>
      <c r="L428">
        <v>18.989999999999998</v>
      </c>
      <c r="M428">
        <v>257.89999999999998</v>
      </c>
      <c r="N428">
        <v>73</v>
      </c>
      <c r="O428">
        <v>11.61</v>
      </c>
      <c r="P428">
        <v>3.8</v>
      </c>
      <c r="Q428">
        <v>10</v>
      </c>
      <c r="R428">
        <v>1.03</v>
      </c>
      <c r="S428">
        <v>1</v>
      </c>
      <c r="T428" t="b">
        <v>0</v>
      </c>
      <c r="U428" t="str">
        <f t="shared" si="30"/>
        <v>Normal Usage</v>
      </c>
      <c r="V428" t="str">
        <f t="shared" si="31"/>
        <v>Normal</v>
      </c>
      <c r="W428" t="str">
        <f t="shared" si="32"/>
        <v>Stable</v>
      </c>
      <c r="X428" t="str">
        <f t="shared" si="33"/>
        <v>Low</v>
      </c>
      <c r="Y428">
        <f t="shared" si="34"/>
        <v>127</v>
      </c>
    </row>
    <row r="429" spans="1:25">
      <c r="A429" t="s">
        <v>46</v>
      </c>
      <c r="B429">
        <v>105</v>
      </c>
      <c r="C429">
        <v>415</v>
      </c>
      <c r="D429" t="s">
        <v>21</v>
      </c>
      <c r="E429" t="s">
        <v>21</v>
      </c>
      <c r="F429">
        <v>0</v>
      </c>
      <c r="G429">
        <v>193.7</v>
      </c>
      <c r="H429">
        <v>108</v>
      </c>
      <c r="I429">
        <v>32.93</v>
      </c>
      <c r="J429">
        <v>183.2</v>
      </c>
      <c r="K429">
        <v>124</v>
      </c>
      <c r="L429">
        <v>15.57</v>
      </c>
      <c r="M429">
        <v>293.7</v>
      </c>
      <c r="N429">
        <v>72</v>
      </c>
      <c r="O429">
        <v>13.22</v>
      </c>
      <c r="P429">
        <v>10.8</v>
      </c>
      <c r="Q429">
        <v>5</v>
      </c>
      <c r="R429">
        <v>2.92</v>
      </c>
      <c r="S429">
        <v>1</v>
      </c>
      <c r="T429" t="b">
        <v>0</v>
      </c>
      <c r="U429" t="str">
        <f t="shared" si="30"/>
        <v>Normal Usage</v>
      </c>
      <c r="V429" t="str">
        <f t="shared" si="31"/>
        <v>Normal</v>
      </c>
      <c r="W429" t="str">
        <f t="shared" si="32"/>
        <v>Stable</v>
      </c>
      <c r="X429" t="str">
        <f t="shared" si="33"/>
        <v>Low</v>
      </c>
      <c r="Y429">
        <f t="shared" si="34"/>
        <v>105</v>
      </c>
    </row>
    <row r="430" spans="1:25">
      <c r="A430" t="s">
        <v>30</v>
      </c>
      <c r="B430">
        <v>75</v>
      </c>
      <c r="C430">
        <v>415</v>
      </c>
      <c r="D430" t="s">
        <v>21</v>
      </c>
      <c r="E430" t="s">
        <v>21</v>
      </c>
      <c r="F430">
        <v>0</v>
      </c>
      <c r="G430">
        <v>224.7</v>
      </c>
      <c r="H430">
        <v>116</v>
      </c>
      <c r="I430">
        <v>38.200000000000003</v>
      </c>
      <c r="J430">
        <v>192</v>
      </c>
      <c r="K430">
        <v>79</v>
      </c>
      <c r="L430">
        <v>16.32</v>
      </c>
      <c r="M430">
        <v>212.2</v>
      </c>
      <c r="N430">
        <v>98</v>
      </c>
      <c r="O430">
        <v>9.5500000000000007</v>
      </c>
      <c r="P430">
        <v>11.3</v>
      </c>
      <c r="Q430">
        <v>11</v>
      </c>
      <c r="R430">
        <v>3.05</v>
      </c>
      <c r="S430">
        <v>3</v>
      </c>
      <c r="T430" t="b">
        <v>0</v>
      </c>
      <c r="U430" t="str">
        <f t="shared" si="30"/>
        <v>High Usage</v>
      </c>
      <c r="V430" t="str">
        <f t="shared" si="31"/>
        <v>Normal</v>
      </c>
      <c r="W430" t="str">
        <f t="shared" si="32"/>
        <v>Stable</v>
      </c>
      <c r="X430" t="str">
        <f t="shared" si="33"/>
        <v>Medium</v>
      </c>
      <c r="Y430">
        <f t="shared" si="34"/>
        <v>75</v>
      </c>
    </row>
    <row r="431" spans="1:25">
      <c r="A431" t="s">
        <v>48</v>
      </c>
      <c r="B431">
        <v>126</v>
      </c>
      <c r="C431">
        <v>415</v>
      </c>
      <c r="D431" t="s">
        <v>21</v>
      </c>
      <c r="E431" t="s">
        <v>21</v>
      </c>
      <c r="F431">
        <v>0</v>
      </c>
      <c r="G431">
        <v>190.9</v>
      </c>
      <c r="H431">
        <v>143</v>
      </c>
      <c r="I431">
        <v>32.450000000000003</v>
      </c>
      <c r="J431">
        <v>149.69999999999999</v>
      </c>
      <c r="K431">
        <v>72</v>
      </c>
      <c r="L431">
        <v>12.72</v>
      </c>
      <c r="M431">
        <v>191.4</v>
      </c>
      <c r="N431">
        <v>87</v>
      </c>
      <c r="O431">
        <v>8.61</v>
      </c>
      <c r="P431">
        <v>13</v>
      </c>
      <c r="Q431">
        <v>3</v>
      </c>
      <c r="R431">
        <v>3.51</v>
      </c>
      <c r="S431">
        <v>1</v>
      </c>
      <c r="T431" t="b">
        <v>0</v>
      </c>
      <c r="U431" t="str">
        <f t="shared" si="30"/>
        <v>Normal Usage</v>
      </c>
      <c r="V431" t="str">
        <f t="shared" si="31"/>
        <v>Normal</v>
      </c>
      <c r="W431" t="str">
        <f t="shared" si="32"/>
        <v>Stable</v>
      </c>
      <c r="X431" t="str">
        <f t="shared" si="33"/>
        <v>Low</v>
      </c>
      <c r="Y431">
        <f t="shared" si="34"/>
        <v>126</v>
      </c>
    </row>
    <row r="432" spans="1:25">
      <c r="A432" t="s">
        <v>46</v>
      </c>
      <c r="B432">
        <v>41</v>
      </c>
      <c r="C432">
        <v>415</v>
      </c>
      <c r="D432" t="s">
        <v>21</v>
      </c>
      <c r="E432" t="s">
        <v>21</v>
      </c>
      <c r="F432">
        <v>0</v>
      </c>
      <c r="G432">
        <v>232.1</v>
      </c>
      <c r="H432">
        <v>74</v>
      </c>
      <c r="I432">
        <v>39.46</v>
      </c>
      <c r="J432">
        <v>327.10000000000002</v>
      </c>
      <c r="K432">
        <v>88</v>
      </c>
      <c r="L432">
        <v>27.8</v>
      </c>
      <c r="M432">
        <v>226.5</v>
      </c>
      <c r="N432">
        <v>119</v>
      </c>
      <c r="O432">
        <v>10.19</v>
      </c>
      <c r="P432">
        <v>10.9</v>
      </c>
      <c r="Q432">
        <v>2</v>
      </c>
      <c r="R432">
        <v>2.94</v>
      </c>
      <c r="S432">
        <v>3</v>
      </c>
      <c r="T432" t="b">
        <v>1</v>
      </c>
      <c r="U432" t="str">
        <f t="shared" si="30"/>
        <v>High Usage</v>
      </c>
      <c r="V432" t="str">
        <f t="shared" si="31"/>
        <v>Normal</v>
      </c>
      <c r="W432" t="str">
        <f t="shared" si="32"/>
        <v>Stable</v>
      </c>
      <c r="X432" t="str">
        <f t="shared" si="33"/>
        <v>Medium</v>
      </c>
      <c r="Y432">
        <f t="shared" si="34"/>
        <v>41</v>
      </c>
    </row>
    <row r="433" spans="1:25">
      <c r="A433" t="s">
        <v>57</v>
      </c>
      <c r="B433">
        <v>113</v>
      </c>
      <c r="C433">
        <v>415</v>
      </c>
      <c r="D433" t="s">
        <v>21</v>
      </c>
      <c r="E433" t="s">
        <v>21</v>
      </c>
      <c r="F433">
        <v>0</v>
      </c>
      <c r="G433">
        <v>90.6</v>
      </c>
      <c r="H433">
        <v>130</v>
      </c>
      <c r="I433">
        <v>15.4</v>
      </c>
      <c r="J433">
        <v>170.6</v>
      </c>
      <c r="K433">
        <v>100</v>
      </c>
      <c r="L433">
        <v>14.5</v>
      </c>
      <c r="M433">
        <v>137.4</v>
      </c>
      <c r="N433">
        <v>74</v>
      </c>
      <c r="O433">
        <v>6.18</v>
      </c>
      <c r="P433">
        <v>5.4</v>
      </c>
      <c r="Q433">
        <v>9</v>
      </c>
      <c r="R433">
        <v>1.46</v>
      </c>
      <c r="S433">
        <v>1</v>
      </c>
      <c r="T433" t="b">
        <v>0</v>
      </c>
      <c r="U433" t="str">
        <f t="shared" si="30"/>
        <v>Normal Usage</v>
      </c>
      <c r="V433" t="str">
        <f t="shared" si="31"/>
        <v>Normal</v>
      </c>
      <c r="W433" t="str">
        <f t="shared" si="32"/>
        <v>Stable</v>
      </c>
      <c r="X433" t="str">
        <f t="shared" si="33"/>
        <v>Low</v>
      </c>
      <c r="Y433">
        <f t="shared" si="34"/>
        <v>113</v>
      </c>
    </row>
    <row r="434" spans="1:25">
      <c r="A434" t="s">
        <v>23</v>
      </c>
      <c r="B434">
        <v>78</v>
      </c>
      <c r="C434">
        <v>510</v>
      </c>
      <c r="D434" t="s">
        <v>21</v>
      </c>
      <c r="E434" t="s">
        <v>21</v>
      </c>
      <c r="F434">
        <v>0</v>
      </c>
      <c r="G434">
        <v>152.9</v>
      </c>
      <c r="H434">
        <v>81</v>
      </c>
      <c r="I434">
        <v>25.99</v>
      </c>
      <c r="J434">
        <v>256.60000000000002</v>
      </c>
      <c r="K434">
        <v>82</v>
      </c>
      <c r="L434">
        <v>21.81</v>
      </c>
      <c r="M434">
        <v>173.6</v>
      </c>
      <c r="N434">
        <v>112</v>
      </c>
      <c r="O434">
        <v>7.81</v>
      </c>
      <c r="P434">
        <v>5.3</v>
      </c>
      <c r="Q434">
        <v>6</v>
      </c>
      <c r="R434">
        <v>1.43</v>
      </c>
      <c r="S434">
        <v>2</v>
      </c>
      <c r="T434" t="b">
        <v>0</v>
      </c>
      <c r="U434" t="str">
        <f t="shared" si="30"/>
        <v>Normal Usage</v>
      </c>
      <c r="V434" t="str">
        <f t="shared" si="31"/>
        <v>Normal</v>
      </c>
      <c r="W434" t="str">
        <f t="shared" si="32"/>
        <v>Stable</v>
      </c>
      <c r="X434" t="str">
        <f t="shared" si="33"/>
        <v>Low</v>
      </c>
      <c r="Y434">
        <f t="shared" si="34"/>
        <v>78</v>
      </c>
    </row>
    <row r="435" spans="1:25">
      <c r="A435" t="s">
        <v>40</v>
      </c>
      <c r="B435">
        <v>110</v>
      </c>
      <c r="C435">
        <v>415</v>
      </c>
      <c r="D435" t="s">
        <v>21</v>
      </c>
      <c r="E435" t="s">
        <v>21</v>
      </c>
      <c r="F435">
        <v>0</v>
      </c>
      <c r="G435">
        <v>241.2</v>
      </c>
      <c r="H435">
        <v>105</v>
      </c>
      <c r="I435">
        <v>41</v>
      </c>
      <c r="J435">
        <v>174.3</v>
      </c>
      <c r="K435">
        <v>85</v>
      </c>
      <c r="L435">
        <v>14.82</v>
      </c>
      <c r="M435">
        <v>245.3</v>
      </c>
      <c r="N435">
        <v>59</v>
      </c>
      <c r="O435">
        <v>11.04</v>
      </c>
      <c r="P435">
        <v>8.5</v>
      </c>
      <c r="Q435">
        <v>4</v>
      </c>
      <c r="R435">
        <v>2.2999999999999998</v>
      </c>
      <c r="S435">
        <v>2</v>
      </c>
      <c r="T435" t="b">
        <v>0</v>
      </c>
      <c r="U435" t="str">
        <f t="shared" si="30"/>
        <v>High Usage</v>
      </c>
      <c r="V435" t="str">
        <f t="shared" si="31"/>
        <v>Normal</v>
      </c>
      <c r="W435" t="str">
        <f t="shared" si="32"/>
        <v>Stable</v>
      </c>
      <c r="X435" t="str">
        <f t="shared" si="33"/>
        <v>Low</v>
      </c>
      <c r="Y435">
        <f t="shared" si="34"/>
        <v>110</v>
      </c>
    </row>
    <row r="436" spans="1:25">
      <c r="A436" t="s">
        <v>41</v>
      </c>
      <c r="B436">
        <v>112</v>
      </c>
      <c r="C436">
        <v>415</v>
      </c>
      <c r="D436" t="s">
        <v>27</v>
      </c>
      <c r="E436" t="s">
        <v>27</v>
      </c>
      <c r="F436">
        <v>16</v>
      </c>
      <c r="G436">
        <v>200.3</v>
      </c>
      <c r="H436">
        <v>72</v>
      </c>
      <c r="I436">
        <v>34.049999999999997</v>
      </c>
      <c r="J436">
        <v>197.8</v>
      </c>
      <c r="K436">
        <v>91</v>
      </c>
      <c r="L436">
        <v>16.809999999999999</v>
      </c>
      <c r="M436">
        <v>151.1</v>
      </c>
      <c r="N436">
        <v>92</v>
      </c>
      <c r="O436">
        <v>6.8</v>
      </c>
      <c r="P436">
        <v>10.4</v>
      </c>
      <c r="Q436">
        <v>3</v>
      </c>
      <c r="R436">
        <v>2.81</v>
      </c>
      <c r="S436">
        <v>1</v>
      </c>
      <c r="T436" t="b">
        <v>0</v>
      </c>
      <c r="U436" t="str">
        <f t="shared" si="30"/>
        <v>High Usage</v>
      </c>
      <c r="V436" t="str">
        <f t="shared" si="31"/>
        <v>Normal</v>
      </c>
      <c r="W436" t="str">
        <f t="shared" si="32"/>
        <v>Stable</v>
      </c>
      <c r="X436" t="str">
        <f t="shared" si="33"/>
        <v>Low</v>
      </c>
      <c r="Y436">
        <f t="shared" si="34"/>
        <v>112</v>
      </c>
    </row>
    <row r="437" spans="1:25">
      <c r="A437" t="s">
        <v>29</v>
      </c>
      <c r="B437">
        <v>104</v>
      </c>
      <c r="C437">
        <v>510</v>
      </c>
      <c r="D437" t="s">
        <v>21</v>
      </c>
      <c r="E437" t="s">
        <v>21</v>
      </c>
      <c r="F437">
        <v>0</v>
      </c>
      <c r="G437">
        <v>97.2</v>
      </c>
      <c r="H437">
        <v>88</v>
      </c>
      <c r="I437">
        <v>16.52</v>
      </c>
      <c r="J437">
        <v>155.6</v>
      </c>
      <c r="K437">
        <v>85</v>
      </c>
      <c r="L437">
        <v>13.23</v>
      </c>
      <c r="M437">
        <v>261.60000000000002</v>
      </c>
      <c r="N437">
        <v>105</v>
      </c>
      <c r="O437">
        <v>11.77</v>
      </c>
      <c r="P437">
        <v>12.4</v>
      </c>
      <c r="Q437">
        <v>5</v>
      </c>
      <c r="R437">
        <v>3.35</v>
      </c>
      <c r="S437">
        <v>0</v>
      </c>
      <c r="T437" t="b">
        <v>0</v>
      </c>
      <c r="U437" t="str">
        <f t="shared" si="30"/>
        <v>Normal Usage</v>
      </c>
      <c r="V437" t="str">
        <f t="shared" si="31"/>
        <v>Normal</v>
      </c>
      <c r="W437" t="str">
        <f t="shared" si="32"/>
        <v>Stable</v>
      </c>
      <c r="X437" t="str">
        <f t="shared" si="33"/>
        <v>Low</v>
      </c>
      <c r="Y437">
        <f t="shared" si="34"/>
        <v>104</v>
      </c>
    </row>
    <row r="438" spans="1:25">
      <c r="A438" t="s">
        <v>66</v>
      </c>
      <c r="B438">
        <v>127</v>
      </c>
      <c r="C438">
        <v>510</v>
      </c>
      <c r="D438" t="s">
        <v>21</v>
      </c>
      <c r="E438" t="s">
        <v>21</v>
      </c>
      <c r="F438">
        <v>0</v>
      </c>
      <c r="G438">
        <v>224.3</v>
      </c>
      <c r="H438">
        <v>112</v>
      </c>
      <c r="I438">
        <v>38.130000000000003</v>
      </c>
      <c r="J438">
        <v>185.7</v>
      </c>
      <c r="K438">
        <v>103</v>
      </c>
      <c r="L438">
        <v>15.78</v>
      </c>
      <c r="M438">
        <v>159.4</v>
      </c>
      <c r="N438">
        <v>83</v>
      </c>
      <c r="O438">
        <v>7.17</v>
      </c>
      <c r="P438">
        <v>10</v>
      </c>
      <c r="Q438">
        <v>1</v>
      </c>
      <c r="R438">
        <v>2.7</v>
      </c>
      <c r="S438">
        <v>2</v>
      </c>
      <c r="T438" t="b">
        <v>0</v>
      </c>
      <c r="U438" t="str">
        <f t="shared" si="30"/>
        <v>High Usage</v>
      </c>
      <c r="V438" t="str">
        <f t="shared" si="31"/>
        <v>Normal</v>
      </c>
      <c r="W438" t="str">
        <f t="shared" si="32"/>
        <v>Stable</v>
      </c>
      <c r="X438" t="str">
        <f t="shared" si="33"/>
        <v>Low</v>
      </c>
      <c r="Y438">
        <f t="shared" si="34"/>
        <v>127</v>
      </c>
    </row>
    <row r="439" spans="1:25">
      <c r="A439" t="s">
        <v>41</v>
      </c>
      <c r="B439">
        <v>61</v>
      </c>
      <c r="C439">
        <v>408</v>
      </c>
      <c r="D439" t="s">
        <v>21</v>
      </c>
      <c r="E439" t="s">
        <v>21</v>
      </c>
      <c r="F439">
        <v>0</v>
      </c>
      <c r="G439">
        <v>267.10000000000002</v>
      </c>
      <c r="H439">
        <v>104</v>
      </c>
      <c r="I439">
        <v>45.41</v>
      </c>
      <c r="J439">
        <v>180.4</v>
      </c>
      <c r="K439">
        <v>131</v>
      </c>
      <c r="L439">
        <v>15.33</v>
      </c>
      <c r="M439">
        <v>230.6</v>
      </c>
      <c r="N439">
        <v>106</v>
      </c>
      <c r="O439">
        <v>10.38</v>
      </c>
      <c r="P439">
        <v>17.3</v>
      </c>
      <c r="Q439">
        <v>4</v>
      </c>
      <c r="R439">
        <v>4.67</v>
      </c>
      <c r="S439">
        <v>1</v>
      </c>
      <c r="T439" t="b">
        <v>1</v>
      </c>
      <c r="U439" t="str">
        <f t="shared" si="30"/>
        <v>High Usage</v>
      </c>
      <c r="V439" t="str">
        <f t="shared" si="31"/>
        <v>Normal</v>
      </c>
      <c r="W439" t="str">
        <f t="shared" si="32"/>
        <v>Potential Churn</v>
      </c>
      <c r="X439" t="str">
        <f t="shared" si="33"/>
        <v>Low</v>
      </c>
      <c r="Y439">
        <f t="shared" si="34"/>
        <v>61</v>
      </c>
    </row>
    <row r="440" spans="1:25">
      <c r="A440" t="s">
        <v>57</v>
      </c>
      <c r="B440">
        <v>65</v>
      </c>
      <c r="C440">
        <v>415</v>
      </c>
      <c r="D440" t="s">
        <v>21</v>
      </c>
      <c r="E440" t="s">
        <v>27</v>
      </c>
      <c r="F440">
        <v>29</v>
      </c>
      <c r="G440">
        <v>215.5</v>
      </c>
      <c r="H440">
        <v>129</v>
      </c>
      <c r="I440">
        <v>36.64</v>
      </c>
      <c r="J440">
        <v>161.9</v>
      </c>
      <c r="K440">
        <v>77</v>
      </c>
      <c r="L440">
        <v>13.76</v>
      </c>
      <c r="M440">
        <v>128.30000000000001</v>
      </c>
      <c r="N440">
        <v>91</v>
      </c>
      <c r="O440">
        <v>5.77</v>
      </c>
      <c r="P440">
        <v>8.8000000000000007</v>
      </c>
      <c r="Q440">
        <v>5</v>
      </c>
      <c r="R440">
        <v>2.38</v>
      </c>
      <c r="S440">
        <v>2</v>
      </c>
      <c r="T440" t="b">
        <v>0</v>
      </c>
      <c r="U440" t="str">
        <f t="shared" si="30"/>
        <v>High Usage</v>
      </c>
      <c r="V440" t="str">
        <f t="shared" si="31"/>
        <v>Normal</v>
      </c>
      <c r="W440" t="str">
        <f t="shared" si="32"/>
        <v>Stable</v>
      </c>
      <c r="X440" t="str">
        <f t="shared" si="33"/>
        <v>Low</v>
      </c>
      <c r="Y440">
        <f t="shared" si="34"/>
        <v>65</v>
      </c>
    </row>
    <row r="441" spans="1:25">
      <c r="A441" t="s">
        <v>56</v>
      </c>
      <c r="B441">
        <v>152</v>
      </c>
      <c r="C441">
        <v>408</v>
      </c>
      <c r="D441" t="s">
        <v>21</v>
      </c>
      <c r="E441" t="s">
        <v>27</v>
      </c>
      <c r="F441">
        <v>20</v>
      </c>
      <c r="G441">
        <v>239.1</v>
      </c>
      <c r="H441">
        <v>105</v>
      </c>
      <c r="I441">
        <v>40.65</v>
      </c>
      <c r="J441">
        <v>209.1</v>
      </c>
      <c r="K441">
        <v>111</v>
      </c>
      <c r="L441">
        <v>17.77</v>
      </c>
      <c r="M441">
        <v>268.2</v>
      </c>
      <c r="N441">
        <v>130</v>
      </c>
      <c r="O441">
        <v>12.07</v>
      </c>
      <c r="P441">
        <v>13.3</v>
      </c>
      <c r="Q441">
        <v>3</v>
      </c>
      <c r="R441">
        <v>3.59</v>
      </c>
      <c r="S441">
        <v>5</v>
      </c>
      <c r="T441" t="b">
        <v>0</v>
      </c>
      <c r="U441" t="str">
        <f t="shared" si="30"/>
        <v>High Usage</v>
      </c>
      <c r="V441" t="str">
        <f t="shared" si="31"/>
        <v>Normal</v>
      </c>
      <c r="W441" t="str">
        <f t="shared" si="32"/>
        <v>Potential Churn</v>
      </c>
      <c r="X441" t="str">
        <f t="shared" si="33"/>
        <v>Medium</v>
      </c>
      <c r="Y441">
        <f t="shared" si="34"/>
        <v>152</v>
      </c>
    </row>
    <row r="442" spans="1:25">
      <c r="A442" t="s">
        <v>57</v>
      </c>
      <c r="B442">
        <v>63</v>
      </c>
      <c r="C442">
        <v>415</v>
      </c>
      <c r="D442" t="s">
        <v>27</v>
      </c>
      <c r="E442" t="s">
        <v>21</v>
      </c>
      <c r="F442">
        <v>0</v>
      </c>
      <c r="G442">
        <v>62.9</v>
      </c>
      <c r="H442">
        <v>112</v>
      </c>
      <c r="I442">
        <v>10.69</v>
      </c>
      <c r="J442">
        <v>202.9</v>
      </c>
      <c r="K442">
        <v>111</v>
      </c>
      <c r="L442">
        <v>17.25</v>
      </c>
      <c r="M442">
        <v>259</v>
      </c>
      <c r="N442">
        <v>58</v>
      </c>
      <c r="O442">
        <v>11.66</v>
      </c>
      <c r="P442">
        <v>8.9</v>
      </c>
      <c r="Q442">
        <v>8</v>
      </c>
      <c r="R442">
        <v>2.4</v>
      </c>
      <c r="S442">
        <v>1</v>
      </c>
      <c r="T442" t="b">
        <v>0</v>
      </c>
      <c r="U442" t="str">
        <f t="shared" si="30"/>
        <v>Normal Usage</v>
      </c>
      <c r="V442" t="str">
        <f t="shared" si="31"/>
        <v>Normal</v>
      </c>
      <c r="W442" t="str">
        <f t="shared" si="32"/>
        <v>Stable</v>
      </c>
      <c r="X442" t="str">
        <f t="shared" si="33"/>
        <v>Low</v>
      </c>
      <c r="Y442">
        <f t="shared" si="34"/>
        <v>63</v>
      </c>
    </row>
    <row r="443" spans="1:25">
      <c r="A443" t="s">
        <v>71</v>
      </c>
      <c r="B443">
        <v>100</v>
      </c>
      <c r="C443">
        <v>408</v>
      </c>
      <c r="D443" t="s">
        <v>21</v>
      </c>
      <c r="E443" t="s">
        <v>21</v>
      </c>
      <c r="F443">
        <v>0</v>
      </c>
      <c r="G443">
        <v>210.9</v>
      </c>
      <c r="H443">
        <v>85</v>
      </c>
      <c r="I443">
        <v>35.85</v>
      </c>
      <c r="J443">
        <v>329.3</v>
      </c>
      <c r="K443">
        <v>69</v>
      </c>
      <c r="L443">
        <v>27.99</v>
      </c>
      <c r="M443">
        <v>127.1</v>
      </c>
      <c r="N443">
        <v>78</v>
      </c>
      <c r="O443">
        <v>5.72</v>
      </c>
      <c r="P443">
        <v>9.4</v>
      </c>
      <c r="Q443">
        <v>5</v>
      </c>
      <c r="R443">
        <v>2.54</v>
      </c>
      <c r="S443">
        <v>4</v>
      </c>
      <c r="T443" t="b">
        <v>0</v>
      </c>
      <c r="U443" t="str">
        <f t="shared" si="30"/>
        <v>High Usage</v>
      </c>
      <c r="V443" t="str">
        <f t="shared" si="31"/>
        <v>Normal</v>
      </c>
      <c r="W443" t="str">
        <f t="shared" si="32"/>
        <v>Potential Churn</v>
      </c>
      <c r="X443" t="str">
        <f t="shared" si="33"/>
        <v>Medium</v>
      </c>
      <c r="Y443">
        <f t="shared" si="34"/>
        <v>100</v>
      </c>
    </row>
    <row r="444" spans="1:25">
      <c r="A444" t="s">
        <v>49</v>
      </c>
      <c r="B444">
        <v>29</v>
      </c>
      <c r="C444">
        <v>510</v>
      </c>
      <c r="D444" t="s">
        <v>21</v>
      </c>
      <c r="E444" t="s">
        <v>21</v>
      </c>
      <c r="F444">
        <v>0</v>
      </c>
      <c r="G444">
        <v>313.2</v>
      </c>
      <c r="H444">
        <v>103</v>
      </c>
      <c r="I444">
        <v>53.24</v>
      </c>
      <c r="J444">
        <v>216.3</v>
      </c>
      <c r="K444">
        <v>151</v>
      </c>
      <c r="L444">
        <v>18.39</v>
      </c>
      <c r="M444">
        <v>218.4</v>
      </c>
      <c r="N444">
        <v>106</v>
      </c>
      <c r="O444">
        <v>9.83</v>
      </c>
      <c r="P444">
        <v>12.8</v>
      </c>
      <c r="Q444">
        <v>4</v>
      </c>
      <c r="R444">
        <v>3.46</v>
      </c>
      <c r="S444">
        <v>2</v>
      </c>
      <c r="T444" t="b">
        <v>1</v>
      </c>
      <c r="U444" t="str">
        <f t="shared" si="30"/>
        <v>High Usage</v>
      </c>
      <c r="V444" t="str">
        <f t="shared" si="31"/>
        <v>Normal</v>
      </c>
      <c r="W444" t="str">
        <f t="shared" si="32"/>
        <v>Potential Churn</v>
      </c>
      <c r="X444" t="str">
        <f t="shared" si="33"/>
        <v>Low</v>
      </c>
      <c r="Y444">
        <f t="shared" si="34"/>
        <v>29</v>
      </c>
    </row>
    <row r="445" spans="1:25">
      <c r="A445" t="s">
        <v>62</v>
      </c>
      <c r="B445">
        <v>175</v>
      </c>
      <c r="C445">
        <v>415</v>
      </c>
      <c r="D445" t="s">
        <v>21</v>
      </c>
      <c r="E445" t="s">
        <v>21</v>
      </c>
      <c r="F445">
        <v>0</v>
      </c>
      <c r="G445">
        <v>132</v>
      </c>
      <c r="H445">
        <v>95</v>
      </c>
      <c r="I445">
        <v>22.44</v>
      </c>
      <c r="J445">
        <v>231.2</v>
      </c>
      <c r="K445">
        <v>74</v>
      </c>
      <c r="L445">
        <v>19.649999999999999</v>
      </c>
      <c r="M445">
        <v>313.39999999999998</v>
      </c>
      <c r="N445">
        <v>108</v>
      </c>
      <c r="O445">
        <v>14.1</v>
      </c>
      <c r="P445">
        <v>8.6999999999999993</v>
      </c>
      <c r="Q445">
        <v>10</v>
      </c>
      <c r="R445">
        <v>2.35</v>
      </c>
      <c r="S445">
        <v>1</v>
      </c>
      <c r="T445" t="b">
        <v>0</v>
      </c>
      <c r="U445" t="str">
        <f t="shared" si="30"/>
        <v>Normal Usage</v>
      </c>
      <c r="V445" t="str">
        <f t="shared" si="31"/>
        <v>Normal</v>
      </c>
      <c r="W445" t="str">
        <f t="shared" si="32"/>
        <v>Stable</v>
      </c>
      <c r="X445" t="str">
        <f t="shared" si="33"/>
        <v>Low</v>
      </c>
      <c r="Y445">
        <f t="shared" si="34"/>
        <v>175</v>
      </c>
    </row>
    <row r="446" spans="1:25">
      <c r="A446" t="s">
        <v>49</v>
      </c>
      <c r="B446">
        <v>98</v>
      </c>
      <c r="C446">
        <v>415</v>
      </c>
      <c r="D446" t="s">
        <v>27</v>
      </c>
      <c r="E446" t="s">
        <v>27</v>
      </c>
      <c r="F446">
        <v>23</v>
      </c>
      <c r="G446">
        <v>245.5</v>
      </c>
      <c r="H446">
        <v>54</v>
      </c>
      <c r="I446">
        <v>41.74</v>
      </c>
      <c r="J446">
        <v>292.7</v>
      </c>
      <c r="K446">
        <v>83</v>
      </c>
      <c r="L446">
        <v>24.88</v>
      </c>
      <c r="M446">
        <v>184</v>
      </c>
      <c r="N446">
        <v>90</v>
      </c>
      <c r="O446">
        <v>8.2799999999999994</v>
      </c>
      <c r="P446">
        <v>10.8</v>
      </c>
      <c r="Q446">
        <v>7</v>
      </c>
      <c r="R446">
        <v>2.92</v>
      </c>
      <c r="S446">
        <v>1</v>
      </c>
      <c r="T446" t="b">
        <v>0</v>
      </c>
      <c r="U446" t="str">
        <f t="shared" si="30"/>
        <v>High Usage</v>
      </c>
      <c r="V446" t="str">
        <f t="shared" si="31"/>
        <v>Normal</v>
      </c>
      <c r="W446" t="str">
        <f t="shared" si="32"/>
        <v>Stable</v>
      </c>
      <c r="X446" t="str">
        <f t="shared" si="33"/>
        <v>Low</v>
      </c>
      <c r="Y446">
        <f t="shared" si="34"/>
        <v>98</v>
      </c>
    </row>
    <row r="447" spans="1:25">
      <c r="A447" t="s">
        <v>30</v>
      </c>
      <c r="B447">
        <v>121</v>
      </c>
      <c r="C447">
        <v>415</v>
      </c>
      <c r="D447" t="s">
        <v>21</v>
      </c>
      <c r="E447" t="s">
        <v>21</v>
      </c>
      <c r="F447">
        <v>0</v>
      </c>
      <c r="G447">
        <v>134.1</v>
      </c>
      <c r="H447">
        <v>112</v>
      </c>
      <c r="I447">
        <v>22.8</v>
      </c>
      <c r="J447">
        <v>195.1</v>
      </c>
      <c r="K447">
        <v>104</v>
      </c>
      <c r="L447">
        <v>16.579999999999998</v>
      </c>
      <c r="M447">
        <v>159.6</v>
      </c>
      <c r="N447">
        <v>139</v>
      </c>
      <c r="O447">
        <v>7.18</v>
      </c>
      <c r="P447">
        <v>10.5</v>
      </c>
      <c r="Q447">
        <v>2</v>
      </c>
      <c r="R447">
        <v>2.84</v>
      </c>
      <c r="S447">
        <v>2</v>
      </c>
      <c r="T447" t="b">
        <v>0</v>
      </c>
      <c r="U447" t="str">
        <f t="shared" si="30"/>
        <v>Normal Usage</v>
      </c>
      <c r="V447" t="str">
        <f t="shared" si="31"/>
        <v>Normal</v>
      </c>
      <c r="W447" t="str">
        <f t="shared" si="32"/>
        <v>Stable</v>
      </c>
      <c r="X447" t="str">
        <f t="shared" si="33"/>
        <v>Low</v>
      </c>
      <c r="Y447">
        <f t="shared" si="34"/>
        <v>121</v>
      </c>
    </row>
    <row r="448" spans="1:25">
      <c r="A448" t="s">
        <v>67</v>
      </c>
      <c r="B448">
        <v>104</v>
      </c>
      <c r="C448">
        <v>415</v>
      </c>
      <c r="D448" t="s">
        <v>21</v>
      </c>
      <c r="E448" t="s">
        <v>21</v>
      </c>
      <c r="F448">
        <v>0</v>
      </c>
      <c r="G448">
        <v>144.5</v>
      </c>
      <c r="H448">
        <v>107</v>
      </c>
      <c r="I448">
        <v>24.57</v>
      </c>
      <c r="J448">
        <v>180.5</v>
      </c>
      <c r="K448">
        <v>85</v>
      </c>
      <c r="L448">
        <v>15.34</v>
      </c>
      <c r="M448">
        <v>226</v>
      </c>
      <c r="N448">
        <v>94</v>
      </c>
      <c r="O448">
        <v>10.17</v>
      </c>
      <c r="P448">
        <v>17</v>
      </c>
      <c r="Q448">
        <v>6</v>
      </c>
      <c r="R448">
        <v>4.59</v>
      </c>
      <c r="S448">
        <v>2</v>
      </c>
      <c r="T448" t="b">
        <v>0</v>
      </c>
      <c r="U448" t="str">
        <f t="shared" si="30"/>
        <v>Normal Usage</v>
      </c>
      <c r="V448" t="str">
        <f t="shared" si="31"/>
        <v>Normal</v>
      </c>
      <c r="W448" t="str">
        <f t="shared" si="32"/>
        <v>Stable</v>
      </c>
      <c r="X448" t="str">
        <f t="shared" si="33"/>
        <v>Low</v>
      </c>
      <c r="Y448">
        <f t="shared" si="34"/>
        <v>104</v>
      </c>
    </row>
    <row r="449" spans="1:25">
      <c r="A449" t="s">
        <v>41</v>
      </c>
      <c r="B449">
        <v>123</v>
      </c>
      <c r="C449">
        <v>415</v>
      </c>
      <c r="D449" t="s">
        <v>21</v>
      </c>
      <c r="E449" t="s">
        <v>21</v>
      </c>
      <c r="F449">
        <v>0</v>
      </c>
      <c r="G449">
        <v>150</v>
      </c>
      <c r="H449">
        <v>98</v>
      </c>
      <c r="I449">
        <v>25.5</v>
      </c>
      <c r="J449">
        <v>89.8</v>
      </c>
      <c r="K449">
        <v>95</v>
      </c>
      <c r="L449">
        <v>7.63</v>
      </c>
      <c r="M449">
        <v>326</v>
      </c>
      <c r="N449">
        <v>91</v>
      </c>
      <c r="O449">
        <v>14.67</v>
      </c>
      <c r="P449">
        <v>11.1</v>
      </c>
      <c r="Q449">
        <v>3</v>
      </c>
      <c r="R449">
        <v>3</v>
      </c>
      <c r="S449">
        <v>3</v>
      </c>
      <c r="T449" t="b">
        <v>0</v>
      </c>
      <c r="U449" t="str">
        <f t="shared" si="30"/>
        <v>Normal Usage</v>
      </c>
      <c r="V449" t="str">
        <f t="shared" si="31"/>
        <v>Normal</v>
      </c>
      <c r="W449" t="str">
        <f t="shared" si="32"/>
        <v>Stable</v>
      </c>
      <c r="X449" t="str">
        <f t="shared" si="33"/>
        <v>Medium</v>
      </c>
      <c r="Y449">
        <f t="shared" si="34"/>
        <v>123</v>
      </c>
    </row>
    <row r="450" spans="1:25">
      <c r="A450" t="s">
        <v>28</v>
      </c>
      <c r="B450">
        <v>61</v>
      </c>
      <c r="C450">
        <v>415</v>
      </c>
      <c r="D450" t="s">
        <v>21</v>
      </c>
      <c r="E450" t="s">
        <v>27</v>
      </c>
      <c r="F450">
        <v>33</v>
      </c>
      <c r="G450">
        <v>270.7</v>
      </c>
      <c r="H450">
        <v>53</v>
      </c>
      <c r="I450">
        <v>46.02</v>
      </c>
      <c r="J450">
        <v>200.7</v>
      </c>
      <c r="K450">
        <v>116</v>
      </c>
      <c r="L450">
        <v>17.059999999999999</v>
      </c>
      <c r="M450">
        <v>201.7</v>
      </c>
      <c r="N450">
        <v>102</v>
      </c>
      <c r="O450">
        <v>9.08</v>
      </c>
      <c r="P450">
        <v>10.9</v>
      </c>
      <c r="Q450">
        <v>3</v>
      </c>
      <c r="R450">
        <v>2.94</v>
      </c>
      <c r="S450">
        <v>3</v>
      </c>
      <c r="T450" t="b">
        <v>0</v>
      </c>
      <c r="U450" t="str">
        <f t="shared" si="30"/>
        <v>High Usage</v>
      </c>
      <c r="V450" t="str">
        <f t="shared" si="31"/>
        <v>Normal</v>
      </c>
      <c r="W450" t="str">
        <f t="shared" si="32"/>
        <v>Potential Churn</v>
      </c>
      <c r="X450" t="str">
        <f t="shared" si="33"/>
        <v>Medium</v>
      </c>
      <c r="Y450">
        <f t="shared" si="34"/>
        <v>61</v>
      </c>
    </row>
    <row r="451" spans="1:25">
      <c r="A451" t="s">
        <v>65</v>
      </c>
      <c r="B451">
        <v>160</v>
      </c>
      <c r="C451">
        <v>415</v>
      </c>
      <c r="D451" t="s">
        <v>21</v>
      </c>
      <c r="E451" t="s">
        <v>21</v>
      </c>
      <c r="F451">
        <v>0</v>
      </c>
      <c r="G451">
        <v>256</v>
      </c>
      <c r="H451">
        <v>111</v>
      </c>
      <c r="I451">
        <v>43.52</v>
      </c>
      <c r="J451">
        <v>187.4</v>
      </c>
      <c r="K451">
        <v>61</v>
      </c>
      <c r="L451">
        <v>15.93</v>
      </c>
      <c r="M451">
        <v>119.1</v>
      </c>
      <c r="N451">
        <v>81</v>
      </c>
      <c r="O451">
        <v>5.36</v>
      </c>
      <c r="P451">
        <v>11.5</v>
      </c>
      <c r="Q451">
        <v>4</v>
      </c>
      <c r="R451">
        <v>3.11</v>
      </c>
      <c r="S451">
        <v>3</v>
      </c>
      <c r="T451" t="b">
        <v>0</v>
      </c>
      <c r="U451" t="str">
        <f t="shared" ref="U451:U514" si="35">IF(G451&gt;200,"High Usage","Normal Usage")</f>
        <v>High Usage</v>
      </c>
      <c r="V451" t="str">
        <f t="shared" ref="V451:V514" si="36">IF(AND(S451&gt;3,D451="Yes"),"High Risk","Normal")</f>
        <v>Normal</v>
      </c>
      <c r="W451" t="str">
        <f t="shared" ref="W451:W514" si="37">IF(OR(S451&gt;3,G451&gt;250),"Potential Churn","Stable")</f>
        <v>Potential Churn</v>
      </c>
      <c r="X451" t="str">
        <f t="shared" ref="X451:X514" si="38">IF(S451&gt;5,"Critical",IF(S451&gt;=3,"Medium","Low"))</f>
        <v>Medium</v>
      </c>
      <c r="Y451">
        <f t="shared" ref="Y451:Y514" si="39">VLOOKUP(A451,A450:U1117,2,FALSE)</f>
        <v>160</v>
      </c>
    </row>
    <row r="452" spans="1:25">
      <c r="A452" t="s">
        <v>69</v>
      </c>
      <c r="B452">
        <v>153</v>
      </c>
      <c r="C452">
        <v>408</v>
      </c>
      <c r="D452" t="s">
        <v>21</v>
      </c>
      <c r="E452" t="s">
        <v>21</v>
      </c>
      <c r="F452">
        <v>0</v>
      </c>
      <c r="G452">
        <v>154.6</v>
      </c>
      <c r="H452">
        <v>56</v>
      </c>
      <c r="I452">
        <v>26.28</v>
      </c>
      <c r="J452">
        <v>263</v>
      </c>
      <c r="K452">
        <v>84</v>
      </c>
      <c r="L452">
        <v>22.36</v>
      </c>
      <c r="M452">
        <v>367.7</v>
      </c>
      <c r="N452">
        <v>89</v>
      </c>
      <c r="O452">
        <v>16.55</v>
      </c>
      <c r="P452">
        <v>15.5</v>
      </c>
      <c r="Q452">
        <v>2</v>
      </c>
      <c r="R452">
        <v>4.1900000000000004</v>
      </c>
      <c r="S452">
        <v>1</v>
      </c>
      <c r="T452" t="b">
        <v>0</v>
      </c>
      <c r="U452" t="str">
        <f t="shared" si="35"/>
        <v>Normal Usage</v>
      </c>
      <c r="V452" t="str">
        <f t="shared" si="36"/>
        <v>Normal</v>
      </c>
      <c r="W452" t="str">
        <f t="shared" si="37"/>
        <v>Stable</v>
      </c>
      <c r="X452" t="str">
        <f t="shared" si="38"/>
        <v>Low</v>
      </c>
      <c r="Y452">
        <f t="shared" si="39"/>
        <v>153</v>
      </c>
    </row>
    <row r="453" spans="1:25">
      <c r="A453" t="s">
        <v>51</v>
      </c>
      <c r="B453">
        <v>31</v>
      </c>
      <c r="C453">
        <v>510</v>
      </c>
      <c r="D453" t="s">
        <v>21</v>
      </c>
      <c r="E453" t="s">
        <v>21</v>
      </c>
      <c r="F453">
        <v>0</v>
      </c>
      <c r="G453">
        <v>165.4</v>
      </c>
      <c r="H453">
        <v>84</v>
      </c>
      <c r="I453">
        <v>28.12</v>
      </c>
      <c r="J453">
        <v>203.7</v>
      </c>
      <c r="K453">
        <v>107</v>
      </c>
      <c r="L453">
        <v>17.309999999999999</v>
      </c>
      <c r="M453">
        <v>201.7</v>
      </c>
      <c r="N453">
        <v>65</v>
      </c>
      <c r="O453">
        <v>9.08</v>
      </c>
      <c r="P453">
        <v>8.1999999999999993</v>
      </c>
      <c r="Q453">
        <v>1</v>
      </c>
      <c r="R453">
        <v>2.21</v>
      </c>
      <c r="S453">
        <v>1</v>
      </c>
      <c r="T453" t="b">
        <v>0</v>
      </c>
      <c r="U453" t="str">
        <f t="shared" si="35"/>
        <v>Normal Usage</v>
      </c>
      <c r="V453" t="str">
        <f t="shared" si="36"/>
        <v>Normal</v>
      </c>
      <c r="W453" t="str">
        <f t="shared" si="37"/>
        <v>Stable</v>
      </c>
      <c r="X453" t="str">
        <f t="shared" si="38"/>
        <v>Low</v>
      </c>
      <c r="Y453">
        <f t="shared" si="39"/>
        <v>31</v>
      </c>
    </row>
    <row r="454" spans="1:25">
      <c r="A454" t="s">
        <v>36</v>
      </c>
      <c r="B454">
        <v>122</v>
      </c>
      <c r="C454">
        <v>415</v>
      </c>
      <c r="D454" t="s">
        <v>21</v>
      </c>
      <c r="E454" t="s">
        <v>21</v>
      </c>
      <c r="F454">
        <v>0</v>
      </c>
      <c r="G454">
        <v>168.3</v>
      </c>
      <c r="H454">
        <v>96</v>
      </c>
      <c r="I454">
        <v>28.61</v>
      </c>
      <c r="J454">
        <v>87.6</v>
      </c>
      <c r="K454">
        <v>91</v>
      </c>
      <c r="L454">
        <v>7.45</v>
      </c>
      <c r="M454">
        <v>247.2</v>
      </c>
      <c r="N454">
        <v>87</v>
      </c>
      <c r="O454">
        <v>11.12</v>
      </c>
      <c r="P454">
        <v>8.4</v>
      </c>
      <c r="Q454">
        <v>6</v>
      </c>
      <c r="R454">
        <v>2.27</v>
      </c>
      <c r="S454">
        <v>1</v>
      </c>
      <c r="T454" t="b">
        <v>0</v>
      </c>
      <c r="U454" t="str">
        <f t="shared" si="35"/>
        <v>Normal Usage</v>
      </c>
      <c r="V454" t="str">
        <f t="shared" si="36"/>
        <v>Normal</v>
      </c>
      <c r="W454" t="str">
        <f t="shared" si="37"/>
        <v>Stable</v>
      </c>
      <c r="X454" t="str">
        <f t="shared" si="38"/>
        <v>Low</v>
      </c>
      <c r="Y454">
        <f t="shared" si="39"/>
        <v>122</v>
      </c>
    </row>
    <row r="455" spans="1:25">
      <c r="A455" t="s">
        <v>22</v>
      </c>
      <c r="B455">
        <v>46</v>
      </c>
      <c r="C455">
        <v>415</v>
      </c>
      <c r="D455" t="s">
        <v>21</v>
      </c>
      <c r="E455" t="s">
        <v>27</v>
      </c>
      <c r="F455">
        <v>34</v>
      </c>
      <c r="G455">
        <v>191.4</v>
      </c>
      <c r="H455">
        <v>102</v>
      </c>
      <c r="I455">
        <v>32.54</v>
      </c>
      <c r="J455">
        <v>361.8</v>
      </c>
      <c r="K455">
        <v>96</v>
      </c>
      <c r="L455">
        <v>30.75</v>
      </c>
      <c r="M455">
        <v>147.5</v>
      </c>
      <c r="N455">
        <v>132</v>
      </c>
      <c r="O455">
        <v>6.64</v>
      </c>
      <c r="P455">
        <v>7.2</v>
      </c>
      <c r="Q455">
        <v>2</v>
      </c>
      <c r="R455">
        <v>1.94</v>
      </c>
      <c r="S455">
        <v>1</v>
      </c>
      <c r="T455" t="b">
        <v>0</v>
      </c>
      <c r="U455" t="str">
        <f t="shared" si="35"/>
        <v>Normal Usage</v>
      </c>
      <c r="V455" t="str">
        <f t="shared" si="36"/>
        <v>Normal</v>
      </c>
      <c r="W455" t="str">
        <f t="shared" si="37"/>
        <v>Stable</v>
      </c>
      <c r="X455" t="str">
        <f t="shared" si="38"/>
        <v>Low</v>
      </c>
      <c r="Y455">
        <f t="shared" si="39"/>
        <v>46</v>
      </c>
    </row>
    <row r="456" spans="1:25">
      <c r="A456" t="s">
        <v>51</v>
      </c>
      <c r="B456">
        <v>103</v>
      </c>
      <c r="C456">
        <v>415</v>
      </c>
      <c r="D456" t="s">
        <v>21</v>
      </c>
      <c r="E456" t="s">
        <v>21</v>
      </c>
      <c r="F456">
        <v>0</v>
      </c>
      <c r="G456">
        <v>158.69999999999999</v>
      </c>
      <c r="H456">
        <v>90</v>
      </c>
      <c r="I456">
        <v>26.98</v>
      </c>
      <c r="J456">
        <v>198.4</v>
      </c>
      <c r="K456">
        <v>117</v>
      </c>
      <c r="L456">
        <v>16.86</v>
      </c>
      <c r="M456">
        <v>181.1</v>
      </c>
      <c r="N456">
        <v>76</v>
      </c>
      <c r="O456">
        <v>8.15</v>
      </c>
      <c r="P456">
        <v>10.5</v>
      </c>
      <c r="Q456">
        <v>4</v>
      </c>
      <c r="R456">
        <v>2.84</v>
      </c>
      <c r="S456">
        <v>1</v>
      </c>
      <c r="T456" t="b">
        <v>0</v>
      </c>
      <c r="U456" t="str">
        <f t="shared" si="35"/>
        <v>Normal Usage</v>
      </c>
      <c r="V456" t="str">
        <f t="shared" si="36"/>
        <v>Normal</v>
      </c>
      <c r="W456" t="str">
        <f t="shared" si="37"/>
        <v>Stable</v>
      </c>
      <c r="X456" t="str">
        <f t="shared" si="38"/>
        <v>Low</v>
      </c>
      <c r="Y456">
        <f t="shared" si="39"/>
        <v>103</v>
      </c>
    </row>
    <row r="457" spans="1:25">
      <c r="A457" t="s">
        <v>63</v>
      </c>
      <c r="B457">
        <v>68</v>
      </c>
      <c r="C457">
        <v>415</v>
      </c>
      <c r="D457" t="s">
        <v>27</v>
      </c>
      <c r="E457" t="s">
        <v>27</v>
      </c>
      <c r="F457">
        <v>29</v>
      </c>
      <c r="G457">
        <v>195.5</v>
      </c>
      <c r="H457">
        <v>113</v>
      </c>
      <c r="I457">
        <v>33.24</v>
      </c>
      <c r="J457">
        <v>171.6</v>
      </c>
      <c r="K457">
        <v>96</v>
      </c>
      <c r="L457">
        <v>14.59</v>
      </c>
      <c r="M457">
        <v>204</v>
      </c>
      <c r="N457">
        <v>85</v>
      </c>
      <c r="O457">
        <v>9.18</v>
      </c>
      <c r="P457">
        <v>13.5</v>
      </c>
      <c r="Q457">
        <v>9</v>
      </c>
      <c r="R457">
        <v>3.65</v>
      </c>
      <c r="S457">
        <v>1</v>
      </c>
      <c r="T457" t="b">
        <v>1</v>
      </c>
      <c r="U457" t="str">
        <f t="shared" si="35"/>
        <v>Normal Usage</v>
      </c>
      <c r="V457" t="str">
        <f t="shared" si="36"/>
        <v>Normal</v>
      </c>
      <c r="W457" t="str">
        <f t="shared" si="37"/>
        <v>Stable</v>
      </c>
      <c r="X457" t="str">
        <f t="shared" si="38"/>
        <v>Low</v>
      </c>
      <c r="Y457">
        <f t="shared" si="39"/>
        <v>68</v>
      </c>
    </row>
    <row r="458" spans="1:25">
      <c r="A458" t="s">
        <v>44</v>
      </c>
      <c r="B458">
        <v>149</v>
      </c>
      <c r="C458">
        <v>415</v>
      </c>
      <c r="D458" t="s">
        <v>21</v>
      </c>
      <c r="E458" t="s">
        <v>27</v>
      </c>
      <c r="F458">
        <v>20</v>
      </c>
      <c r="G458">
        <v>264.39999999999998</v>
      </c>
      <c r="H458">
        <v>102</v>
      </c>
      <c r="I458">
        <v>44.95</v>
      </c>
      <c r="J458">
        <v>219.6</v>
      </c>
      <c r="K458">
        <v>123</v>
      </c>
      <c r="L458">
        <v>18.670000000000002</v>
      </c>
      <c r="M458">
        <v>200.4</v>
      </c>
      <c r="N458">
        <v>89</v>
      </c>
      <c r="O458">
        <v>9.02</v>
      </c>
      <c r="P458">
        <v>11.3</v>
      </c>
      <c r="Q458">
        <v>3</v>
      </c>
      <c r="R458">
        <v>3.05</v>
      </c>
      <c r="S458">
        <v>2</v>
      </c>
      <c r="T458" t="b">
        <v>0</v>
      </c>
      <c r="U458" t="str">
        <f t="shared" si="35"/>
        <v>High Usage</v>
      </c>
      <c r="V458" t="str">
        <f t="shared" si="36"/>
        <v>Normal</v>
      </c>
      <c r="W458" t="str">
        <f t="shared" si="37"/>
        <v>Potential Churn</v>
      </c>
      <c r="X458" t="str">
        <f t="shared" si="38"/>
        <v>Low</v>
      </c>
      <c r="Y458">
        <f t="shared" si="39"/>
        <v>149</v>
      </c>
    </row>
    <row r="459" spans="1:25">
      <c r="A459" t="s">
        <v>34</v>
      </c>
      <c r="B459">
        <v>102</v>
      </c>
      <c r="C459">
        <v>408</v>
      </c>
      <c r="D459" t="s">
        <v>21</v>
      </c>
      <c r="E459" t="s">
        <v>21</v>
      </c>
      <c r="F459">
        <v>0</v>
      </c>
      <c r="G459">
        <v>273.2</v>
      </c>
      <c r="H459">
        <v>85</v>
      </c>
      <c r="I459">
        <v>46.44</v>
      </c>
      <c r="J459">
        <v>211.1</v>
      </c>
      <c r="K459">
        <v>82</v>
      </c>
      <c r="L459">
        <v>17.940000000000001</v>
      </c>
      <c r="M459">
        <v>203.7</v>
      </c>
      <c r="N459">
        <v>129</v>
      </c>
      <c r="O459">
        <v>9.17</v>
      </c>
      <c r="P459">
        <v>13.1</v>
      </c>
      <c r="Q459">
        <v>7</v>
      </c>
      <c r="R459">
        <v>3.54</v>
      </c>
      <c r="S459">
        <v>2</v>
      </c>
      <c r="T459" t="b">
        <v>1</v>
      </c>
      <c r="U459" t="str">
        <f t="shared" si="35"/>
        <v>High Usage</v>
      </c>
      <c r="V459" t="str">
        <f t="shared" si="36"/>
        <v>Normal</v>
      </c>
      <c r="W459" t="str">
        <f t="shared" si="37"/>
        <v>Potential Churn</v>
      </c>
      <c r="X459" t="str">
        <f t="shared" si="38"/>
        <v>Low</v>
      </c>
      <c r="Y459">
        <f t="shared" si="39"/>
        <v>102</v>
      </c>
    </row>
    <row r="460" spans="1:25">
      <c r="A460" t="s">
        <v>31</v>
      </c>
      <c r="B460">
        <v>153</v>
      </c>
      <c r="C460">
        <v>510</v>
      </c>
      <c r="D460" t="s">
        <v>21</v>
      </c>
      <c r="E460" t="s">
        <v>21</v>
      </c>
      <c r="F460">
        <v>0</v>
      </c>
      <c r="G460">
        <v>159.5</v>
      </c>
      <c r="H460">
        <v>103</v>
      </c>
      <c r="I460">
        <v>27.12</v>
      </c>
      <c r="J460">
        <v>275.5</v>
      </c>
      <c r="K460">
        <v>90</v>
      </c>
      <c r="L460">
        <v>23.42</v>
      </c>
      <c r="M460">
        <v>176.7</v>
      </c>
      <c r="N460">
        <v>126</v>
      </c>
      <c r="O460">
        <v>7.95</v>
      </c>
      <c r="P460">
        <v>10.1</v>
      </c>
      <c r="Q460">
        <v>2</v>
      </c>
      <c r="R460">
        <v>2.73</v>
      </c>
      <c r="S460">
        <v>1</v>
      </c>
      <c r="T460" t="b">
        <v>1</v>
      </c>
      <c r="U460" t="str">
        <f t="shared" si="35"/>
        <v>Normal Usage</v>
      </c>
      <c r="V460" t="str">
        <f t="shared" si="36"/>
        <v>Normal</v>
      </c>
      <c r="W460" t="str">
        <f t="shared" si="37"/>
        <v>Stable</v>
      </c>
      <c r="X460" t="str">
        <f t="shared" si="38"/>
        <v>Low</v>
      </c>
      <c r="Y460">
        <f t="shared" si="39"/>
        <v>153</v>
      </c>
    </row>
    <row r="461" spans="1:25">
      <c r="A461" t="s">
        <v>23</v>
      </c>
      <c r="B461">
        <v>122</v>
      </c>
      <c r="C461">
        <v>510</v>
      </c>
      <c r="D461" t="s">
        <v>21</v>
      </c>
      <c r="E461" t="s">
        <v>21</v>
      </c>
      <c r="F461">
        <v>0</v>
      </c>
      <c r="G461">
        <v>145.6</v>
      </c>
      <c r="H461">
        <v>102</v>
      </c>
      <c r="I461">
        <v>24.75</v>
      </c>
      <c r="J461">
        <v>284.7</v>
      </c>
      <c r="K461">
        <v>111</v>
      </c>
      <c r="L461">
        <v>24.2</v>
      </c>
      <c r="M461">
        <v>228.2</v>
      </c>
      <c r="N461">
        <v>91</v>
      </c>
      <c r="O461">
        <v>10.27</v>
      </c>
      <c r="P461">
        <v>12.2</v>
      </c>
      <c r="Q461">
        <v>5</v>
      </c>
      <c r="R461">
        <v>3.29</v>
      </c>
      <c r="S461">
        <v>0</v>
      </c>
      <c r="T461" t="b">
        <v>0</v>
      </c>
      <c r="U461" t="str">
        <f t="shared" si="35"/>
        <v>Normal Usage</v>
      </c>
      <c r="V461" t="str">
        <f t="shared" si="36"/>
        <v>Normal</v>
      </c>
      <c r="W461" t="str">
        <f t="shared" si="37"/>
        <v>Stable</v>
      </c>
      <c r="X461" t="str">
        <f t="shared" si="38"/>
        <v>Low</v>
      </c>
      <c r="Y461">
        <f t="shared" si="39"/>
        <v>122</v>
      </c>
    </row>
    <row r="462" spans="1:25">
      <c r="A462" t="s">
        <v>50</v>
      </c>
      <c r="B462">
        <v>127</v>
      </c>
      <c r="C462">
        <v>510</v>
      </c>
      <c r="D462" t="s">
        <v>27</v>
      </c>
      <c r="E462" t="s">
        <v>21</v>
      </c>
      <c r="F462">
        <v>0</v>
      </c>
      <c r="G462">
        <v>247.5</v>
      </c>
      <c r="H462">
        <v>99</v>
      </c>
      <c r="I462">
        <v>42.08</v>
      </c>
      <c r="J462">
        <v>108.5</v>
      </c>
      <c r="K462">
        <v>118</v>
      </c>
      <c r="L462">
        <v>9.2200000000000006</v>
      </c>
      <c r="M462">
        <v>232</v>
      </c>
      <c r="N462">
        <v>72</v>
      </c>
      <c r="O462">
        <v>10.44</v>
      </c>
      <c r="P462">
        <v>10.6</v>
      </c>
      <c r="Q462">
        <v>3</v>
      </c>
      <c r="R462">
        <v>2.86</v>
      </c>
      <c r="S462">
        <v>2</v>
      </c>
      <c r="T462" t="b">
        <v>0</v>
      </c>
      <c r="U462" t="str">
        <f t="shared" si="35"/>
        <v>High Usage</v>
      </c>
      <c r="V462" t="str">
        <f t="shared" si="36"/>
        <v>Normal</v>
      </c>
      <c r="W462" t="str">
        <f t="shared" si="37"/>
        <v>Stable</v>
      </c>
      <c r="X462" t="str">
        <f t="shared" si="38"/>
        <v>Low</v>
      </c>
      <c r="Y462">
        <f t="shared" si="39"/>
        <v>127</v>
      </c>
    </row>
    <row r="463" spans="1:25">
      <c r="A463" t="s">
        <v>23</v>
      </c>
      <c r="B463">
        <v>126</v>
      </c>
      <c r="C463">
        <v>415</v>
      </c>
      <c r="D463" t="s">
        <v>27</v>
      </c>
      <c r="E463" t="s">
        <v>21</v>
      </c>
      <c r="F463">
        <v>0</v>
      </c>
      <c r="G463">
        <v>239.7</v>
      </c>
      <c r="H463">
        <v>87</v>
      </c>
      <c r="I463">
        <v>40.75</v>
      </c>
      <c r="J463">
        <v>281.7</v>
      </c>
      <c r="K463">
        <v>92</v>
      </c>
      <c r="L463">
        <v>23.94</v>
      </c>
      <c r="M463">
        <v>183.5</v>
      </c>
      <c r="N463">
        <v>113</v>
      </c>
      <c r="O463">
        <v>8.26</v>
      </c>
      <c r="P463">
        <v>11.4</v>
      </c>
      <c r="Q463">
        <v>1</v>
      </c>
      <c r="R463">
        <v>3.08</v>
      </c>
      <c r="S463">
        <v>1</v>
      </c>
      <c r="T463" t="b">
        <v>1</v>
      </c>
      <c r="U463" t="str">
        <f t="shared" si="35"/>
        <v>High Usage</v>
      </c>
      <c r="V463" t="str">
        <f t="shared" si="36"/>
        <v>Normal</v>
      </c>
      <c r="W463" t="str">
        <f t="shared" si="37"/>
        <v>Stable</v>
      </c>
      <c r="X463" t="str">
        <f t="shared" si="38"/>
        <v>Low</v>
      </c>
      <c r="Y463">
        <f t="shared" si="39"/>
        <v>126</v>
      </c>
    </row>
    <row r="464" spans="1:25">
      <c r="A464" t="s">
        <v>37</v>
      </c>
      <c r="B464">
        <v>90</v>
      </c>
      <c r="C464">
        <v>408</v>
      </c>
      <c r="D464" t="s">
        <v>21</v>
      </c>
      <c r="E464" t="s">
        <v>21</v>
      </c>
      <c r="F464">
        <v>0</v>
      </c>
      <c r="G464">
        <v>109.9</v>
      </c>
      <c r="H464">
        <v>102</v>
      </c>
      <c r="I464">
        <v>18.68</v>
      </c>
      <c r="J464">
        <v>220.8</v>
      </c>
      <c r="K464">
        <v>114</v>
      </c>
      <c r="L464">
        <v>18.77</v>
      </c>
      <c r="M464">
        <v>104</v>
      </c>
      <c r="N464">
        <v>133</v>
      </c>
      <c r="O464">
        <v>4.68</v>
      </c>
      <c r="P464">
        <v>10.9</v>
      </c>
      <c r="Q464">
        <v>6</v>
      </c>
      <c r="R464">
        <v>2.94</v>
      </c>
      <c r="S464">
        <v>0</v>
      </c>
      <c r="T464" t="b">
        <v>0</v>
      </c>
      <c r="U464" t="str">
        <f t="shared" si="35"/>
        <v>Normal Usage</v>
      </c>
      <c r="V464" t="str">
        <f t="shared" si="36"/>
        <v>Normal</v>
      </c>
      <c r="W464" t="str">
        <f t="shared" si="37"/>
        <v>Stable</v>
      </c>
      <c r="X464" t="str">
        <f t="shared" si="38"/>
        <v>Low</v>
      </c>
      <c r="Y464">
        <f t="shared" si="39"/>
        <v>90</v>
      </c>
    </row>
    <row r="465" spans="1:25">
      <c r="A465" t="s">
        <v>39</v>
      </c>
      <c r="B465">
        <v>37</v>
      </c>
      <c r="C465">
        <v>510</v>
      </c>
      <c r="D465" t="s">
        <v>21</v>
      </c>
      <c r="E465" t="s">
        <v>21</v>
      </c>
      <c r="F465">
        <v>0</v>
      </c>
      <c r="G465">
        <v>239.9</v>
      </c>
      <c r="H465">
        <v>120</v>
      </c>
      <c r="I465">
        <v>40.78</v>
      </c>
      <c r="J465">
        <v>261.60000000000002</v>
      </c>
      <c r="K465">
        <v>88</v>
      </c>
      <c r="L465">
        <v>22.24</v>
      </c>
      <c r="M465">
        <v>207.1</v>
      </c>
      <c r="N465">
        <v>88</v>
      </c>
      <c r="O465">
        <v>9.32</v>
      </c>
      <c r="P465">
        <v>8.9</v>
      </c>
      <c r="Q465">
        <v>4</v>
      </c>
      <c r="R465">
        <v>2.4</v>
      </c>
      <c r="S465">
        <v>2</v>
      </c>
      <c r="T465" t="b">
        <v>1</v>
      </c>
      <c r="U465" t="str">
        <f t="shared" si="35"/>
        <v>High Usage</v>
      </c>
      <c r="V465" t="str">
        <f t="shared" si="36"/>
        <v>Normal</v>
      </c>
      <c r="W465" t="str">
        <f t="shared" si="37"/>
        <v>Stable</v>
      </c>
      <c r="X465" t="str">
        <f t="shared" si="38"/>
        <v>Low</v>
      </c>
      <c r="Y465">
        <f t="shared" si="39"/>
        <v>37</v>
      </c>
    </row>
    <row r="466" spans="1:25">
      <c r="A466" t="s">
        <v>37</v>
      </c>
      <c r="B466">
        <v>132</v>
      </c>
      <c r="C466">
        <v>415</v>
      </c>
      <c r="D466" t="s">
        <v>21</v>
      </c>
      <c r="E466" t="s">
        <v>21</v>
      </c>
      <c r="F466">
        <v>0</v>
      </c>
      <c r="G466">
        <v>197.8</v>
      </c>
      <c r="H466">
        <v>66</v>
      </c>
      <c r="I466">
        <v>33.630000000000003</v>
      </c>
      <c r="J466">
        <v>133.9</v>
      </c>
      <c r="K466">
        <v>119</v>
      </c>
      <c r="L466">
        <v>11.38</v>
      </c>
      <c r="M466">
        <v>177.3</v>
      </c>
      <c r="N466">
        <v>94</v>
      </c>
      <c r="O466">
        <v>7.98</v>
      </c>
      <c r="P466">
        <v>10.9</v>
      </c>
      <c r="Q466">
        <v>3</v>
      </c>
      <c r="R466">
        <v>2.94</v>
      </c>
      <c r="S466">
        <v>4</v>
      </c>
      <c r="T466" t="b">
        <v>1</v>
      </c>
      <c r="U466" t="str">
        <f t="shared" si="35"/>
        <v>Normal Usage</v>
      </c>
      <c r="V466" t="str">
        <f t="shared" si="36"/>
        <v>Normal</v>
      </c>
      <c r="W466" t="str">
        <f t="shared" si="37"/>
        <v>Potential Churn</v>
      </c>
      <c r="X466" t="str">
        <f t="shared" si="38"/>
        <v>Medium</v>
      </c>
      <c r="Y466">
        <f t="shared" si="39"/>
        <v>132</v>
      </c>
    </row>
    <row r="467" spans="1:25">
      <c r="A467" t="s">
        <v>36</v>
      </c>
      <c r="B467">
        <v>38</v>
      </c>
      <c r="C467">
        <v>408</v>
      </c>
      <c r="D467" t="s">
        <v>21</v>
      </c>
      <c r="E467" t="s">
        <v>27</v>
      </c>
      <c r="F467">
        <v>36</v>
      </c>
      <c r="G467">
        <v>115.4</v>
      </c>
      <c r="H467">
        <v>98</v>
      </c>
      <c r="I467">
        <v>19.62</v>
      </c>
      <c r="J467">
        <v>166.2</v>
      </c>
      <c r="K467">
        <v>83</v>
      </c>
      <c r="L467">
        <v>14.13</v>
      </c>
      <c r="M467">
        <v>184.7</v>
      </c>
      <c r="N467">
        <v>79</v>
      </c>
      <c r="O467">
        <v>8.31</v>
      </c>
      <c r="P467">
        <v>15.2</v>
      </c>
      <c r="Q467">
        <v>6</v>
      </c>
      <c r="R467">
        <v>4.0999999999999996</v>
      </c>
      <c r="S467">
        <v>2</v>
      </c>
      <c r="T467" t="b">
        <v>0</v>
      </c>
      <c r="U467" t="str">
        <f t="shared" si="35"/>
        <v>Normal Usage</v>
      </c>
      <c r="V467" t="str">
        <f t="shared" si="36"/>
        <v>Normal</v>
      </c>
      <c r="W467" t="str">
        <f t="shared" si="37"/>
        <v>Stable</v>
      </c>
      <c r="X467" t="str">
        <f t="shared" si="38"/>
        <v>Low</v>
      </c>
      <c r="Y467">
        <f t="shared" si="39"/>
        <v>38</v>
      </c>
    </row>
    <row r="468" spans="1:25">
      <c r="A468" t="s">
        <v>29</v>
      </c>
      <c r="B468">
        <v>92</v>
      </c>
      <c r="C468">
        <v>415</v>
      </c>
      <c r="D468" t="s">
        <v>21</v>
      </c>
      <c r="E468" t="s">
        <v>21</v>
      </c>
      <c r="F468">
        <v>0</v>
      </c>
      <c r="G468">
        <v>197.2</v>
      </c>
      <c r="H468">
        <v>113</v>
      </c>
      <c r="I468">
        <v>33.520000000000003</v>
      </c>
      <c r="J468">
        <v>242.3</v>
      </c>
      <c r="K468">
        <v>116</v>
      </c>
      <c r="L468">
        <v>20.6</v>
      </c>
      <c r="M468">
        <v>192</v>
      </c>
      <c r="N468">
        <v>76</v>
      </c>
      <c r="O468">
        <v>8.64</v>
      </c>
      <c r="P468">
        <v>11</v>
      </c>
      <c r="Q468">
        <v>5</v>
      </c>
      <c r="R468">
        <v>2.97</v>
      </c>
      <c r="S468">
        <v>2</v>
      </c>
      <c r="T468" t="b">
        <v>0</v>
      </c>
      <c r="U468" t="str">
        <f t="shared" si="35"/>
        <v>Normal Usage</v>
      </c>
      <c r="V468" t="str">
        <f t="shared" si="36"/>
        <v>Normal</v>
      </c>
      <c r="W468" t="str">
        <f t="shared" si="37"/>
        <v>Stable</v>
      </c>
      <c r="X468" t="str">
        <f t="shared" si="38"/>
        <v>Low</v>
      </c>
      <c r="Y468">
        <f t="shared" si="39"/>
        <v>92</v>
      </c>
    </row>
    <row r="469" spans="1:25">
      <c r="A469" t="s">
        <v>25</v>
      </c>
      <c r="B469">
        <v>111</v>
      </c>
      <c r="C469">
        <v>408</v>
      </c>
      <c r="D469" t="s">
        <v>21</v>
      </c>
      <c r="E469" t="s">
        <v>27</v>
      </c>
      <c r="F469">
        <v>13</v>
      </c>
      <c r="G469">
        <v>193.1</v>
      </c>
      <c r="H469">
        <v>104</v>
      </c>
      <c r="I469">
        <v>32.83</v>
      </c>
      <c r="J469">
        <v>111.6</v>
      </c>
      <c r="K469">
        <v>98</v>
      </c>
      <c r="L469">
        <v>9.49</v>
      </c>
      <c r="M469">
        <v>227.4</v>
      </c>
      <c r="N469">
        <v>94</v>
      </c>
      <c r="O469">
        <v>10.23</v>
      </c>
      <c r="P469">
        <v>12.1</v>
      </c>
      <c r="Q469">
        <v>4</v>
      </c>
      <c r="R469">
        <v>3.27</v>
      </c>
      <c r="S469">
        <v>1</v>
      </c>
      <c r="T469" t="b">
        <v>0</v>
      </c>
      <c r="U469" t="str">
        <f t="shared" si="35"/>
        <v>Normal Usage</v>
      </c>
      <c r="V469" t="str">
        <f t="shared" si="36"/>
        <v>Normal</v>
      </c>
      <c r="W469" t="str">
        <f t="shared" si="37"/>
        <v>Stable</v>
      </c>
      <c r="X469" t="str">
        <f t="shared" si="38"/>
        <v>Low</v>
      </c>
      <c r="Y469">
        <f t="shared" si="39"/>
        <v>111</v>
      </c>
    </row>
    <row r="470" spans="1:25">
      <c r="A470" t="s">
        <v>48</v>
      </c>
      <c r="B470">
        <v>121</v>
      </c>
      <c r="C470">
        <v>415</v>
      </c>
      <c r="D470" t="s">
        <v>21</v>
      </c>
      <c r="E470" t="s">
        <v>27</v>
      </c>
      <c r="F470">
        <v>31</v>
      </c>
      <c r="G470">
        <v>263.10000000000002</v>
      </c>
      <c r="H470">
        <v>70</v>
      </c>
      <c r="I470">
        <v>44.73</v>
      </c>
      <c r="J470">
        <v>279.3</v>
      </c>
      <c r="K470">
        <v>118</v>
      </c>
      <c r="L470">
        <v>23.74</v>
      </c>
      <c r="M470">
        <v>127.1</v>
      </c>
      <c r="N470">
        <v>143</v>
      </c>
      <c r="O470">
        <v>5.72</v>
      </c>
      <c r="P470">
        <v>9.6999999999999993</v>
      </c>
      <c r="Q470">
        <v>4</v>
      </c>
      <c r="R470">
        <v>2.62</v>
      </c>
      <c r="S470">
        <v>5</v>
      </c>
      <c r="T470" t="b">
        <v>0</v>
      </c>
      <c r="U470" t="str">
        <f t="shared" si="35"/>
        <v>High Usage</v>
      </c>
      <c r="V470" t="str">
        <f t="shared" si="36"/>
        <v>Normal</v>
      </c>
      <c r="W470" t="str">
        <f t="shared" si="37"/>
        <v>Potential Churn</v>
      </c>
      <c r="X470" t="str">
        <f t="shared" si="38"/>
        <v>Medium</v>
      </c>
      <c r="Y470">
        <f t="shared" si="39"/>
        <v>121</v>
      </c>
    </row>
    <row r="471" spans="1:25">
      <c r="A471" t="s">
        <v>72</v>
      </c>
      <c r="B471">
        <v>131</v>
      </c>
      <c r="C471">
        <v>408</v>
      </c>
      <c r="D471" t="s">
        <v>21</v>
      </c>
      <c r="E471" t="s">
        <v>21</v>
      </c>
      <c r="F471">
        <v>0</v>
      </c>
      <c r="G471">
        <v>197</v>
      </c>
      <c r="H471">
        <v>79</v>
      </c>
      <c r="I471">
        <v>33.49</v>
      </c>
      <c r="J471">
        <v>201</v>
      </c>
      <c r="K471">
        <v>114</v>
      </c>
      <c r="L471">
        <v>17.09</v>
      </c>
      <c r="M471">
        <v>151.19999999999999</v>
      </c>
      <c r="N471">
        <v>111</v>
      </c>
      <c r="O471">
        <v>6.8</v>
      </c>
      <c r="P471">
        <v>11.6</v>
      </c>
      <c r="Q471">
        <v>5</v>
      </c>
      <c r="R471">
        <v>3.13</v>
      </c>
      <c r="S471">
        <v>1</v>
      </c>
      <c r="T471" t="b">
        <v>0</v>
      </c>
      <c r="U471" t="str">
        <f t="shared" si="35"/>
        <v>Normal Usage</v>
      </c>
      <c r="V471" t="str">
        <f t="shared" si="36"/>
        <v>Normal</v>
      </c>
      <c r="W471" t="str">
        <f t="shared" si="37"/>
        <v>Stable</v>
      </c>
      <c r="X471" t="str">
        <f t="shared" si="38"/>
        <v>Low</v>
      </c>
      <c r="Y471">
        <f t="shared" si="39"/>
        <v>131</v>
      </c>
    </row>
    <row r="472" spans="1:25">
      <c r="A472" t="s">
        <v>62</v>
      </c>
      <c r="B472">
        <v>19</v>
      </c>
      <c r="C472">
        <v>415</v>
      </c>
      <c r="D472" t="s">
        <v>21</v>
      </c>
      <c r="E472" t="s">
        <v>21</v>
      </c>
      <c r="F472">
        <v>0</v>
      </c>
      <c r="G472">
        <v>201.5</v>
      </c>
      <c r="H472">
        <v>123</v>
      </c>
      <c r="I472">
        <v>34.26</v>
      </c>
      <c r="J472">
        <v>129.19999999999999</v>
      </c>
      <c r="K472">
        <v>110</v>
      </c>
      <c r="L472">
        <v>10.98</v>
      </c>
      <c r="M472">
        <v>220.6</v>
      </c>
      <c r="N472">
        <v>98</v>
      </c>
      <c r="O472">
        <v>9.93</v>
      </c>
      <c r="P472">
        <v>12.9</v>
      </c>
      <c r="Q472">
        <v>4</v>
      </c>
      <c r="R472">
        <v>3.48</v>
      </c>
      <c r="S472">
        <v>1</v>
      </c>
      <c r="T472" t="b">
        <v>0</v>
      </c>
      <c r="U472" t="str">
        <f t="shared" si="35"/>
        <v>High Usage</v>
      </c>
      <c r="V472" t="str">
        <f t="shared" si="36"/>
        <v>Normal</v>
      </c>
      <c r="W472" t="str">
        <f t="shared" si="37"/>
        <v>Stable</v>
      </c>
      <c r="X472" t="str">
        <f t="shared" si="38"/>
        <v>Low</v>
      </c>
      <c r="Y472">
        <f t="shared" si="39"/>
        <v>19</v>
      </c>
    </row>
    <row r="473" spans="1:25">
      <c r="A473" t="s">
        <v>42</v>
      </c>
      <c r="B473">
        <v>135</v>
      </c>
      <c r="C473">
        <v>415</v>
      </c>
      <c r="D473" t="s">
        <v>21</v>
      </c>
      <c r="E473" t="s">
        <v>21</v>
      </c>
      <c r="F473">
        <v>0</v>
      </c>
      <c r="G473">
        <v>173.4</v>
      </c>
      <c r="H473">
        <v>107</v>
      </c>
      <c r="I473">
        <v>29.48</v>
      </c>
      <c r="J473">
        <v>222</v>
      </c>
      <c r="K473">
        <v>84</v>
      </c>
      <c r="L473">
        <v>18.87</v>
      </c>
      <c r="M473">
        <v>64.2</v>
      </c>
      <c r="N473">
        <v>94</v>
      </c>
      <c r="O473">
        <v>2.89</v>
      </c>
      <c r="P473">
        <v>13.7</v>
      </c>
      <c r="Q473">
        <v>6</v>
      </c>
      <c r="R473">
        <v>3.7</v>
      </c>
      <c r="S473">
        <v>1</v>
      </c>
      <c r="T473" t="b">
        <v>0</v>
      </c>
      <c r="U473" t="str">
        <f t="shared" si="35"/>
        <v>Normal Usage</v>
      </c>
      <c r="V473" t="str">
        <f t="shared" si="36"/>
        <v>Normal</v>
      </c>
      <c r="W473" t="str">
        <f t="shared" si="37"/>
        <v>Stable</v>
      </c>
      <c r="X473" t="str">
        <f t="shared" si="38"/>
        <v>Low</v>
      </c>
      <c r="Y473">
        <f t="shared" si="39"/>
        <v>135</v>
      </c>
    </row>
    <row r="474" spans="1:25">
      <c r="A474" t="s">
        <v>70</v>
      </c>
      <c r="B474">
        <v>129</v>
      </c>
      <c r="C474">
        <v>408</v>
      </c>
      <c r="D474" t="s">
        <v>21</v>
      </c>
      <c r="E474" t="s">
        <v>21</v>
      </c>
      <c r="F474">
        <v>0</v>
      </c>
      <c r="G474">
        <v>101.4</v>
      </c>
      <c r="H474">
        <v>145</v>
      </c>
      <c r="I474">
        <v>17.239999999999998</v>
      </c>
      <c r="J474">
        <v>249.1</v>
      </c>
      <c r="K474">
        <v>116</v>
      </c>
      <c r="L474">
        <v>21.17</v>
      </c>
      <c r="M474">
        <v>157.6</v>
      </c>
      <c r="N474">
        <v>107</v>
      </c>
      <c r="O474">
        <v>7.09</v>
      </c>
      <c r="P474">
        <v>7.1</v>
      </c>
      <c r="Q474">
        <v>6</v>
      </c>
      <c r="R474">
        <v>1.92</v>
      </c>
      <c r="S474">
        <v>1</v>
      </c>
      <c r="T474" t="b">
        <v>0</v>
      </c>
      <c r="U474" t="str">
        <f t="shared" si="35"/>
        <v>Normal Usage</v>
      </c>
      <c r="V474" t="str">
        <f t="shared" si="36"/>
        <v>Normal</v>
      </c>
      <c r="W474" t="str">
        <f t="shared" si="37"/>
        <v>Stable</v>
      </c>
      <c r="X474" t="str">
        <f t="shared" si="38"/>
        <v>Low</v>
      </c>
      <c r="Y474">
        <f t="shared" si="39"/>
        <v>129</v>
      </c>
    </row>
    <row r="475" spans="1:25">
      <c r="A475" t="s">
        <v>33</v>
      </c>
      <c r="B475">
        <v>142</v>
      </c>
      <c r="C475">
        <v>415</v>
      </c>
      <c r="D475" t="s">
        <v>21</v>
      </c>
      <c r="E475" t="s">
        <v>21</v>
      </c>
      <c r="F475">
        <v>0</v>
      </c>
      <c r="G475">
        <v>232.5</v>
      </c>
      <c r="H475">
        <v>74</v>
      </c>
      <c r="I475">
        <v>39.53</v>
      </c>
      <c r="J475">
        <v>181.8</v>
      </c>
      <c r="K475">
        <v>142</v>
      </c>
      <c r="L475">
        <v>15.45</v>
      </c>
      <c r="M475">
        <v>203.1</v>
      </c>
      <c r="N475">
        <v>86</v>
      </c>
      <c r="O475">
        <v>9.14</v>
      </c>
      <c r="P475">
        <v>10.4</v>
      </c>
      <c r="Q475">
        <v>6</v>
      </c>
      <c r="R475">
        <v>2.81</v>
      </c>
      <c r="S475">
        <v>4</v>
      </c>
      <c r="T475" t="b">
        <v>0</v>
      </c>
      <c r="U475" t="str">
        <f t="shared" si="35"/>
        <v>High Usage</v>
      </c>
      <c r="V475" t="str">
        <f t="shared" si="36"/>
        <v>Normal</v>
      </c>
      <c r="W475" t="str">
        <f t="shared" si="37"/>
        <v>Potential Churn</v>
      </c>
      <c r="X475" t="str">
        <f t="shared" si="38"/>
        <v>Medium</v>
      </c>
      <c r="Y475">
        <f t="shared" si="39"/>
        <v>142</v>
      </c>
    </row>
    <row r="476" spans="1:25">
      <c r="A476" t="s">
        <v>65</v>
      </c>
      <c r="B476">
        <v>130</v>
      </c>
      <c r="C476">
        <v>415</v>
      </c>
      <c r="D476" t="s">
        <v>21</v>
      </c>
      <c r="E476" t="s">
        <v>27</v>
      </c>
      <c r="F476">
        <v>45</v>
      </c>
      <c r="G476">
        <v>174.5</v>
      </c>
      <c r="H476">
        <v>120</v>
      </c>
      <c r="I476">
        <v>29.67</v>
      </c>
      <c r="J476">
        <v>217.5</v>
      </c>
      <c r="K476">
        <v>95</v>
      </c>
      <c r="L476">
        <v>18.489999999999998</v>
      </c>
      <c r="M476">
        <v>220.3</v>
      </c>
      <c r="N476">
        <v>67</v>
      </c>
      <c r="O476">
        <v>9.91</v>
      </c>
      <c r="P476">
        <v>12.2</v>
      </c>
      <c r="Q476">
        <v>2</v>
      </c>
      <c r="R476">
        <v>3.29</v>
      </c>
      <c r="S476">
        <v>1</v>
      </c>
      <c r="T476" t="b">
        <v>0</v>
      </c>
      <c r="U476" t="str">
        <f t="shared" si="35"/>
        <v>Normal Usage</v>
      </c>
      <c r="V476" t="str">
        <f t="shared" si="36"/>
        <v>Normal</v>
      </c>
      <c r="W476" t="str">
        <f t="shared" si="37"/>
        <v>Stable</v>
      </c>
      <c r="X476" t="str">
        <f t="shared" si="38"/>
        <v>Low</v>
      </c>
      <c r="Y476">
        <f t="shared" si="39"/>
        <v>130</v>
      </c>
    </row>
    <row r="477" spans="1:25">
      <c r="A477" t="s">
        <v>41</v>
      </c>
      <c r="B477">
        <v>92</v>
      </c>
      <c r="C477">
        <v>415</v>
      </c>
      <c r="D477" t="s">
        <v>21</v>
      </c>
      <c r="E477" t="s">
        <v>21</v>
      </c>
      <c r="F477">
        <v>0</v>
      </c>
      <c r="G477">
        <v>181.4</v>
      </c>
      <c r="H477">
        <v>98</v>
      </c>
      <c r="I477">
        <v>30.84</v>
      </c>
      <c r="J477">
        <v>164.5</v>
      </c>
      <c r="K477">
        <v>98</v>
      </c>
      <c r="L477">
        <v>13.98</v>
      </c>
      <c r="M477">
        <v>171</v>
      </c>
      <c r="N477">
        <v>110</v>
      </c>
      <c r="O477">
        <v>7.69</v>
      </c>
      <c r="P477">
        <v>10.9</v>
      </c>
      <c r="Q477">
        <v>4</v>
      </c>
      <c r="R477">
        <v>2.94</v>
      </c>
      <c r="S477">
        <v>2</v>
      </c>
      <c r="T477" t="b">
        <v>0</v>
      </c>
      <c r="U477" t="str">
        <f t="shared" si="35"/>
        <v>Normal Usage</v>
      </c>
      <c r="V477" t="str">
        <f t="shared" si="36"/>
        <v>Normal</v>
      </c>
      <c r="W477" t="str">
        <f t="shared" si="37"/>
        <v>Stable</v>
      </c>
      <c r="X477" t="str">
        <f t="shared" si="38"/>
        <v>Low</v>
      </c>
      <c r="Y477">
        <f t="shared" si="39"/>
        <v>92</v>
      </c>
    </row>
    <row r="478" spans="1:25">
      <c r="A478" t="s">
        <v>50</v>
      </c>
      <c r="B478">
        <v>146</v>
      </c>
      <c r="C478">
        <v>415</v>
      </c>
      <c r="D478" t="s">
        <v>21</v>
      </c>
      <c r="E478" t="s">
        <v>27</v>
      </c>
      <c r="F478">
        <v>11</v>
      </c>
      <c r="G478">
        <v>180.7</v>
      </c>
      <c r="H478">
        <v>82</v>
      </c>
      <c r="I478">
        <v>30.72</v>
      </c>
      <c r="J478">
        <v>173.7</v>
      </c>
      <c r="K478">
        <v>90</v>
      </c>
      <c r="L478">
        <v>14.76</v>
      </c>
      <c r="M478">
        <v>231.5</v>
      </c>
      <c r="N478">
        <v>89</v>
      </c>
      <c r="O478">
        <v>10.42</v>
      </c>
      <c r="P478">
        <v>10.1</v>
      </c>
      <c r="Q478">
        <v>4</v>
      </c>
      <c r="R478">
        <v>2.73</v>
      </c>
      <c r="S478">
        <v>2</v>
      </c>
      <c r="T478" t="b">
        <v>0</v>
      </c>
      <c r="U478" t="str">
        <f t="shared" si="35"/>
        <v>Normal Usage</v>
      </c>
      <c r="V478" t="str">
        <f t="shared" si="36"/>
        <v>Normal</v>
      </c>
      <c r="W478" t="str">
        <f t="shared" si="37"/>
        <v>Stable</v>
      </c>
      <c r="X478" t="str">
        <f t="shared" si="38"/>
        <v>Low</v>
      </c>
      <c r="Y478">
        <f t="shared" si="39"/>
        <v>146</v>
      </c>
    </row>
    <row r="479" spans="1:25">
      <c r="A479" t="s">
        <v>66</v>
      </c>
      <c r="B479">
        <v>152</v>
      </c>
      <c r="C479">
        <v>510</v>
      </c>
      <c r="D479" t="s">
        <v>27</v>
      </c>
      <c r="E479" t="s">
        <v>27</v>
      </c>
      <c r="F479">
        <v>41</v>
      </c>
      <c r="G479">
        <v>146.80000000000001</v>
      </c>
      <c r="H479">
        <v>128</v>
      </c>
      <c r="I479">
        <v>24.96</v>
      </c>
      <c r="J479">
        <v>285.60000000000002</v>
      </c>
      <c r="K479">
        <v>96</v>
      </c>
      <c r="L479">
        <v>24.28</v>
      </c>
      <c r="M479">
        <v>213.6</v>
      </c>
      <c r="N479">
        <v>80</v>
      </c>
      <c r="O479">
        <v>9.61</v>
      </c>
      <c r="P479">
        <v>4.3</v>
      </c>
      <c r="Q479">
        <v>2</v>
      </c>
      <c r="R479">
        <v>1.1599999999999999</v>
      </c>
      <c r="S479">
        <v>1</v>
      </c>
      <c r="T479" t="b">
        <v>1</v>
      </c>
      <c r="U479" t="str">
        <f t="shared" si="35"/>
        <v>Normal Usage</v>
      </c>
      <c r="V479" t="str">
        <f t="shared" si="36"/>
        <v>Normal</v>
      </c>
      <c r="W479" t="str">
        <f t="shared" si="37"/>
        <v>Stable</v>
      </c>
      <c r="X479" t="str">
        <f t="shared" si="38"/>
        <v>Low</v>
      </c>
      <c r="Y479">
        <f t="shared" si="39"/>
        <v>152</v>
      </c>
    </row>
    <row r="480" spans="1:25">
      <c r="A480" t="s">
        <v>49</v>
      </c>
      <c r="B480">
        <v>189</v>
      </c>
      <c r="C480">
        <v>415</v>
      </c>
      <c r="D480" t="s">
        <v>21</v>
      </c>
      <c r="E480" t="s">
        <v>21</v>
      </c>
      <c r="F480">
        <v>0</v>
      </c>
      <c r="G480">
        <v>227.8</v>
      </c>
      <c r="H480">
        <v>124</v>
      </c>
      <c r="I480">
        <v>38.729999999999997</v>
      </c>
      <c r="J480">
        <v>169.5</v>
      </c>
      <c r="K480">
        <v>112</v>
      </c>
      <c r="L480">
        <v>14.41</v>
      </c>
      <c r="M480">
        <v>201.1</v>
      </c>
      <c r="N480">
        <v>91</v>
      </c>
      <c r="O480">
        <v>9.0500000000000007</v>
      </c>
      <c r="P480">
        <v>5.6</v>
      </c>
      <c r="Q480">
        <v>4</v>
      </c>
      <c r="R480">
        <v>1.51</v>
      </c>
      <c r="S480">
        <v>3</v>
      </c>
      <c r="T480" t="b">
        <v>0</v>
      </c>
      <c r="U480" t="str">
        <f t="shared" si="35"/>
        <v>High Usage</v>
      </c>
      <c r="V480" t="str">
        <f t="shared" si="36"/>
        <v>Normal</v>
      </c>
      <c r="W480" t="str">
        <f t="shared" si="37"/>
        <v>Stable</v>
      </c>
      <c r="X480" t="str">
        <f t="shared" si="38"/>
        <v>Medium</v>
      </c>
      <c r="Y480">
        <f t="shared" si="39"/>
        <v>189</v>
      </c>
    </row>
    <row r="481" spans="1:25">
      <c r="A481" t="s">
        <v>42</v>
      </c>
      <c r="B481">
        <v>95</v>
      </c>
      <c r="C481">
        <v>415</v>
      </c>
      <c r="D481" t="s">
        <v>21</v>
      </c>
      <c r="E481" t="s">
        <v>27</v>
      </c>
      <c r="F481">
        <v>23</v>
      </c>
      <c r="G481">
        <v>160.30000000000001</v>
      </c>
      <c r="H481">
        <v>87</v>
      </c>
      <c r="I481">
        <v>27.25</v>
      </c>
      <c r="J481">
        <v>202.4</v>
      </c>
      <c r="K481">
        <v>101</v>
      </c>
      <c r="L481">
        <v>17.2</v>
      </c>
      <c r="M481">
        <v>191.1</v>
      </c>
      <c r="N481">
        <v>122</v>
      </c>
      <c r="O481">
        <v>8.6</v>
      </c>
      <c r="P481">
        <v>7.4</v>
      </c>
      <c r="Q481">
        <v>3</v>
      </c>
      <c r="R481">
        <v>2</v>
      </c>
      <c r="S481">
        <v>0</v>
      </c>
      <c r="T481" t="b">
        <v>0</v>
      </c>
      <c r="U481" t="str">
        <f t="shared" si="35"/>
        <v>Normal Usage</v>
      </c>
      <c r="V481" t="str">
        <f t="shared" si="36"/>
        <v>Normal</v>
      </c>
      <c r="W481" t="str">
        <f t="shared" si="37"/>
        <v>Stable</v>
      </c>
      <c r="X481" t="str">
        <f t="shared" si="38"/>
        <v>Low</v>
      </c>
      <c r="Y481">
        <f t="shared" si="39"/>
        <v>95</v>
      </c>
    </row>
    <row r="482" spans="1:25">
      <c r="A482" t="s">
        <v>26</v>
      </c>
      <c r="B482">
        <v>1</v>
      </c>
      <c r="C482">
        <v>408</v>
      </c>
      <c r="D482" t="s">
        <v>21</v>
      </c>
      <c r="E482" t="s">
        <v>21</v>
      </c>
      <c r="F482">
        <v>0</v>
      </c>
      <c r="G482">
        <v>175.2</v>
      </c>
      <c r="H482">
        <v>74</v>
      </c>
      <c r="I482">
        <v>29.78</v>
      </c>
      <c r="J482">
        <v>151.69999999999999</v>
      </c>
      <c r="K482">
        <v>79</v>
      </c>
      <c r="L482">
        <v>12.89</v>
      </c>
      <c r="M482">
        <v>230.5</v>
      </c>
      <c r="N482">
        <v>109</v>
      </c>
      <c r="O482">
        <v>10.37</v>
      </c>
      <c r="P482">
        <v>5.3</v>
      </c>
      <c r="Q482">
        <v>3</v>
      </c>
      <c r="R482">
        <v>1.43</v>
      </c>
      <c r="S482">
        <v>1</v>
      </c>
      <c r="T482" t="b">
        <v>0</v>
      </c>
      <c r="U482" t="str">
        <f t="shared" si="35"/>
        <v>Normal Usage</v>
      </c>
      <c r="V482" t="str">
        <f t="shared" si="36"/>
        <v>Normal</v>
      </c>
      <c r="W482" t="str">
        <f t="shared" si="37"/>
        <v>Stable</v>
      </c>
      <c r="X482" t="str">
        <f t="shared" si="38"/>
        <v>Low</v>
      </c>
      <c r="Y482">
        <f t="shared" si="39"/>
        <v>1</v>
      </c>
    </row>
    <row r="483" spans="1:25">
      <c r="A483" t="s">
        <v>22</v>
      </c>
      <c r="B483">
        <v>141</v>
      </c>
      <c r="C483">
        <v>415</v>
      </c>
      <c r="D483" t="s">
        <v>21</v>
      </c>
      <c r="E483" t="s">
        <v>27</v>
      </c>
      <c r="F483">
        <v>39</v>
      </c>
      <c r="G483">
        <v>116.9</v>
      </c>
      <c r="H483">
        <v>127</v>
      </c>
      <c r="I483">
        <v>19.87</v>
      </c>
      <c r="J483">
        <v>276.5</v>
      </c>
      <c r="K483">
        <v>88</v>
      </c>
      <c r="L483">
        <v>23.5</v>
      </c>
      <c r="M483">
        <v>289.89999999999998</v>
      </c>
      <c r="N483">
        <v>125</v>
      </c>
      <c r="O483">
        <v>13.05</v>
      </c>
      <c r="P483">
        <v>12.3</v>
      </c>
      <c r="Q483">
        <v>2</v>
      </c>
      <c r="R483">
        <v>3.32</v>
      </c>
      <c r="S483">
        <v>0</v>
      </c>
      <c r="T483" t="b">
        <v>0</v>
      </c>
      <c r="U483" t="str">
        <f t="shared" si="35"/>
        <v>Normal Usage</v>
      </c>
      <c r="V483" t="str">
        <f t="shared" si="36"/>
        <v>Normal</v>
      </c>
      <c r="W483" t="str">
        <f t="shared" si="37"/>
        <v>Stable</v>
      </c>
      <c r="X483" t="str">
        <f t="shared" si="38"/>
        <v>Low</v>
      </c>
      <c r="Y483">
        <f t="shared" si="39"/>
        <v>141</v>
      </c>
    </row>
    <row r="484" spans="1:25">
      <c r="A484" t="s">
        <v>40</v>
      </c>
      <c r="B484">
        <v>111</v>
      </c>
      <c r="C484">
        <v>510</v>
      </c>
      <c r="D484" t="s">
        <v>21</v>
      </c>
      <c r="E484" t="s">
        <v>21</v>
      </c>
      <c r="F484">
        <v>0</v>
      </c>
      <c r="G484">
        <v>152.19999999999999</v>
      </c>
      <c r="H484">
        <v>114</v>
      </c>
      <c r="I484">
        <v>25.87</v>
      </c>
      <c r="J484">
        <v>137.19999999999999</v>
      </c>
      <c r="K484">
        <v>102</v>
      </c>
      <c r="L484">
        <v>11.66</v>
      </c>
      <c r="M484">
        <v>185.9</v>
      </c>
      <c r="N484">
        <v>97</v>
      </c>
      <c r="O484">
        <v>8.3699999999999992</v>
      </c>
      <c r="P484">
        <v>9.8000000000000007</v>
      </c>
      <c r="Q484">
        <v>3</v>
      </c>
      <c r="R484">
        <v>2.65</v>
      </c>
      <c r="S484">
        <v>0</v>
      </c>
      <c r="T484" t="b">
        <v>0</v>
      </c>
      <c r="U484" t="str">
        <f t="shared" si="35"/>
        <v>Normal Usage</v>
      </c>
      <c r="V484" t="str">
        <f t="shared" si="36"/>
        <v>Normal</v>
      </c>
      <c r="W484" t="str">
        <f t="shared" si="37"/>
        <v>Stable</v>
      </c>
      <c r="X484" t="str">
        <f t="shared" si="38"/>
        <v>Low</v>
      </c>
      <c r="Y484">
        <f t="shared" si="39"/>
        <v>111</v>
      </c>
    </row>
    <row r="485" spans="1:25">
      <c r="A485" t="s">
        <v>57</v>
      </c>
      <c r="B485">
        <v>143</v>
      </c>
      <c r="C485">
        <v>408</v>
      </c>
      <c r="D485" t="s">
        <v>21</v>
      </c>
      <c r="E485" t="s">
        <v>21</v>
      </c>
      <c r="F485">
        <v>0</v>
      </c>
      <c r="G485">
        <v>167.8</v>
      </c>
      <c r="H485">
        <v>72</v>
      </c>
      <c r="I485">
        <v>28.53</v>
      </c>
      <c r="J485">
        <v>211</v>
      </c>
      <c r="K485">
        <v>99</v>
      </c>
      <c r="L485">
        <v>17.940000000000001</v>
      </c>
      <c r="M485">
        <v>153.5</v>
      </c>
      <c r="N485">
        <v>109</v>
      </c>
      <c r="O485">
        <v>6.91</v>
      </c>
      <c r="P485">
        <v>10.5</v>
      </c>
      <c r="Q485">
        <v>6</v>
      </c>
      <c r="R485">
        <v>2.84</v>
      </c>
      <c r="S485">
        <v>4</v>
      </c>
      <c r="T485" t="b">
        <v>1</v>
      </c>
      <c r="U485" t="str">
        <f t="shared" si="35"/>
        <v>Normal Usage</v>
      </c>
      <c r="V485" t="str">
        <f t="shared" si="36"/>
        <v>Normal</v>
      </c>
      <c r="W485" t="str">
        <f t="shared" si="37"/>
        <v>Potential Churn</v>
      </c>
      <c r="X485" t="str">
        <f t="shared" si="38"/>
        <v>Medium</v>
      </c>
      <c r="Y485">
        <f t="shared" si="39"/>
        <v>143</v>
      </c>
    </row>
    <row r="486" spans="1:25">
      <c r="A486" t="s">
        <v>44</v>
      </c>
      <c r="B486">
        <v>148</v>
      </c>
      <c r="C486">
        <v>415</v>
      </c>
      <c r="D486" t="s">
        <v>21</v>
      </c>
      <c r="E486" t="s">
        <v>27</v>
      </c>
      <c r="F486">
        <v>21</v>
      </c>
      <c r="G486">
        <v>262.89999999999998</v>
      </c>
      <c r="H486">
        <v>135</v>
      </c>
      <c r="I486">
        <v>44.69</v>
      </c>
      <c r="J486">
        <v>149.5</v>
      </c>
      <c r="K486">
        <v>96</v>
      </c>
      <c r="L486">
        <v>12.71</v>
      </c>
      <c r="M486">
        <v>140.5</v>
      </c>
      <c r="N486">
        <v>109</v>
      </c>
      <c r="O486">
        <v>6.32</v>
      </c>
      <c r="P486">
        <v>8.1</v>
      </c>
      <c r="Q486">
        <v>4</v>
      </c>
      <c r="R486">
        <v>2.19</v>
      </c>
      <c r="S486">
        <v>1</v>
      </c>
      <c r="T486" t="b">
        <v>0</v>
      </c>
      <c r="U486" t="str">
        <f t="shared" si="35"/>
        <v>High Usage</v>
      </c>
      <c r="V486" t="str">
        <f t="shared" si="36"/>
        <v>Normal</v>
      </c>
      <c r="W486" t="str">
        <f t="shared" si="37"/>
        <v>Potential Churn</v>
      </c>
      <c r="X486" t="str">
        <f t="shared" si="38"/>
        <v>Low</v>
      </c>
      <c r="Y486">
        <f t="shared" si="39"/>
        <v>148</v>
      </c>
    </row>
    <row r="487" spans="1:25">
      <c r="A487" t="s">
        <v>34</v>
      </c>
      <c r="B487">
        <v>143</v>
      </c>
      <c r="C487">
        <v>408</v>
      </c>
      <c r="D487" t="s">
        <v>21</v>
      </c>
      <c r="E487" t="s">
        <v>27</v>
      </c>
      <c r="F487">
        <v>22</v>
      </c>
      <c r="G487">
        <v>141.80000000000001</v>
      </c>
      <c r="H487">
        <v>116</v>
      </c>
      <c r="I487">
        <v>24.11</v>
      </c>
      <c r="J487">
        <v>167.3</v>
      </c>
      <c r="K487">
        <v>99</v>
      </c>
      <c r="L487">
        <v>14.22</v>
      </c>
      <c r="M487">
        <v>178.1</v>
      </c>
      <c r="N487">
        <v>130</v>
      </c>
      <c r="O487">
        <v>8.01</v>
      </c>
      <c r="P487">
        <v>7.8</v>
      </c>
      <c r="Q487">
        <v>3</v>
      </c>
      <c r="R487">
        <v>2.11</v>
      </c>
      <c r="S487">
        <v>1</v>
      </c>
      <c r="T487" t="b">
        <v>0</v>
      </c>
      <c r="U487" t="str">
        <f t="shared" si="35"/>
        <v>Normal Usage</v>
      </c>
      <c r="V487" t="str">
        <f t="shared" si="36"/>
        <v>Normal</v>
      </c>
      <c r="W487" t="str">
        <f t="shared" si="37"/>
        <v>Stable</v>
      </c>
      <c r="X487" t="str">
        <f t="shared" si="38"/>
        <v>Low</v>
      </c>
      <c r="Y487">
        <f t="shared" si="39"/>
        <v>143</v>
      </c>
    </row>
    <row r="488" spans="1:25">
      <c r="A488" t="s">
        <v>46</v>
      </c>
      <c r="B488">
        <v>90</v>
      </c>
      <c r="C488">
        <v>415</v>
      </c>
      <c r="D488" t="s">
        <v>21</v>
      </c>
      <c r="E488" t="s">
        <v>21</v>
      </c>
      <c r="F488">
        <v>0</v>
      </c>
      <c r="G488">
        <v>167.5</v>
      </c>
      <c r="H488">
        <v>96</v>
      </c>
      <c r="I488">
        <v>28.48</v>
      </c>
      <c r="J488">
        <v>139.1</v>
      </c>
      <c r="K488">
        <v>104</v>
      </c>
      <c r="L488">
        <v>11.82</v>
      </c>
      <c r="M488">
        <v>138.4</v>
      </c>
      <c r="N488">
        <v>87</v>
      </c>
      <c r="O488">
        <v>6.23</v>
      </c>
      <c r="P488">
        <v>13</v>
      </c>
      <c r="Q488">
        <v>1</v>
      </c>
      <c r="R488">
        <v>3.51</v>
      </c>
      <c r="S488">
        <v>1</v>
      </c>
      <c r="T488" t="b">
        <v>0</v>
      </c>
      <c r="U488" t="str">
        <f t="shared" si="35"/>
        <v>Normal Usage</v>
      </c>
      <c r="V488" t="str">
        <f t="shared" si="36"/>
        <v>Normal</v>
      </c>
      <c r="W488" t="str">
        <f t="shared" si="37"/>
        <v>Stable</v>
      </c>
      <c r="X488" t="str">
        <f t="shared" si="38"/>
        <v>Low</v>
      </c>
      <c r="Y488">
        <f t="shared" si="39"/>
        <v>90</v>
      </c>
    </row>
    <row r="489" spans="1:25">
      <c r="A489" t="s">
        <v>42</v>
      </c>
      <c r="B489">
        <v>169</v>
      </c>
      <c r="C489">
        <v>408</v>
      </c>
      <c r="D489" t="s">
        <v>21</v>
      </c>
      <c r="E489" t="s">
        <v>21</v>
      </c>
      <c r="F489">
        <v>0</v>
      </c>
      <c r="G489">
        <v>147.19999999999999</v>
      </c>
      <c r="H489">
        <v>115</v>
      </c>
      <c r="I489">
        <v>25.02</v>
      </c>
      <c r="J489">
        <v>161.9</v>
      </c>
      <c r="K489">
        <v>123</v>
      </c>
      <c r="L489">
        <v>13.76</v>
      </c>
      <c r="M489">
        <v>142.1</v>
      </c>
      <c r="N489">
        <v>103</v>
      </c>
      <c r="O489">
        <v>6.39</v>
      </c>
      <c r="P489">
        <v>7.2</v>
      </c>
      <c r="Q489">
        <v>6</v>
      </c>
      <c r="R489">
        <v>1.94</v>
      </c>
      <c r="S489">
        <v>3</v>
      </c>
      <c r="T489" t="b">
        <v>0</v>
      </c>
      <c r="U489" t="str">
        <f t="shared" si="35"/>
        <v>Normal Usage</v>
      </c>
      <c r="V489" t="str">
        <f t="shared" si="36"/>
        <v>Normal</v>
      </c>
      <c r="W489" t="str">
        <f t="shared" si="37"/>
        <v>Stable</v>
      </c>
      <c r="X489" t="str">
        <f t="shared" si="38"/>
        <v>Medium</v>
      </c>
      <c r="Y489">
        <f t="shared" si="39"/>
        <v>169</v>
      </c>
    </row>
    <row r="490" spans="1:25">
      <c r="A490" t="s">
        <v>20</v>
      </c>
      <c r="B490">
        <v>53</v>
      </c>
      <c r="C490">
        <v>415</v>
      </c>
      <c r="D490" t="s">
        <v>21</v>
      </c>
      <c r="E490" t="s">
        <v>21</v>
      </c>
      <c r="F490">
        <v>0</v>
      </c>
      <c r="G490">
        <v>145.1</v>
      </c>
      <c r="H490">
        <v>116</v>
      </c>
      <c r="I490">
        <v>24.67</v>
      </c>
      <c r="J490">
        <v>233.7</v>
      </c>
      <c r="K490">
        <v>82</v>
      </c>
      <c r="L490">
        <v>19.86</v>
      </c>
      <c r="M490">
        <v>208.7</v>
      </c>
      <c r="N490">
        <v>95</v>
      </c>
      <c r="O490">
        <v>9.39</v>
      </c>
      <c r="P490">
        <v>7.9</v>
      </c>
      <c r="Q490">
        <v>5</v>
      </c>
      <c r="R490">
        <v>2.13</v>
      </c>
      <c r="S490">
        <v>2</v>
      </c>
      <c r="T490" t="b">
        <v>0</v>
      </c>
      <c r="U490" t="str">
        <f t="shared" si="35"/>
        <v>Normal Usage</v>
      </c>
      <c r="V490" t="str">
        <f t="shared" si="36"/>
        <v>Normal</v>
      </c>
      <c r="W490" t="str">
        <f t="shared" si="37"/>
        <v>Stable</v>
      </c>
      <c r="X490" t="str">
        <f t="shared" si="38"/>
        <v>Low</v>
      </c>
      <c r="Y490">
        <f t="shared" si="39"/>
        <v>53</v>
      </c>
    </row>
    <row r="491" spans="1:25">
      <c r="A491" t="s">
        <v>43</v>
      </c>
      <c r="B491">
        <v>15</v>
      </c>
      <c r="C491">
        <v>415</v>
      </c>
      <c r="D491" t="s">
        <v>21</v>
      </c>
      <c r="E491" t="s">
        <v>21</v>
      </c>
      <c r="F491">
        <v>0</v>
      </c>
      <c r="G491">
        <v>135.19999999999999</v>
      </c>
      <c r="H491">
        <v>101</v>
      </c>
      <c r="I491">
        <v>22.98</v>
      </c>
      <c r="J491">
        <v>152.5</v>
      </c>
      <c r="K491">
        <v>79</v>
      </c>
      <c r="L491">
        <v>12.96</v>
      </c>
      <c r="M491">
        <v>224.8</v>
      </c>
      <c r="N491">
        <v>83</v>
      </c>
      <c r="O491">
        <v>10.119999999999999</v>
      </c>
      <c r="P491">
        <v>8.4</v>
      </c>
      <c r="Q491">
        <v>5</v>
      </c>
      <c r="R491">
        <v>2.27</v>
      </c>
      <c r="S491">
        <v>2</v>
      </c>
      <c r="T491" t="b">
        <v>0</v>
      </c>
      <c r="U491" t="str">
        <f t="shared" si="35"/>
        <v>Normal Usage</v>
      </c>
      <c r="V491" t="str">
        <f t="shared" si="36"/>
        <v>Normal</v>
      </c>
      <c r="W491" t="str">
        <f t="shared" si="37"/>
        <v>Stable</v>
      </c>
      <c r="X491" t="str">
        <f t="shared" si="38"/>
        <v>Low</v>
      </c>
      <c r="Y491">
        <f t="shared" si="39"/>
        <v>15</v>
      </c>
    </row>
    <row r="492" spans="1:25">
      <c r="A492" t="s">
        <v>61</v>
      </c>
      <c r="B492">
        <v>123</v>
      </c>
      <c r="C492">
        <v>408</v>
      </c>
      <c r="D492" t="s">
        <v>21</v>
      </c>
      <c r="E492" t="s">
        <v>27</v>
      </c>
      <c r="F492">
        <v>28</v>
      </c>
      <c r="G492">
        <v>124.7</v>
      </c>
      <c r="H492">
        <v>105</v>
      </c>
      <c r="I492">
        <v>21.2</v>
      </c>
      <c r="J492">
        <v>250.4</v>
      </c>
      <c r="K492">
        <v>78</v>
      </c>
      <c r="L492">
        <v>21.28</v>
      </c>
      <c r="M492">
        <v>216.4</v>
      </c>
      <c r="N492">
        <v>128</v>
      </c>
      <c r="O492">
        <v>9.74</v>
      </c>
      <c r="P492">
        <v>7.8</v>
      </c>
      <c r="Q492">
        <v>8</v>
      </c>
      <c r="R492">
        <v>2.11</v>
      </c>
      <c r="S492">
        <v>1</v>
      </c>
      <c r="T492" t="b">
        <v>0</v>
      </c>
      <c r="U492" t="str">
        <f t="shared" si="35"/>
        <v>Normal Usage</v>
      </c>
      <c r="V492" t="str">
        <f t="shared" si="36"/>
        <v>Normal</v>
      </c>
      <c r="W492" t="str">
        <f t="shared" si="37"/>
        <v>Stable</v>
      </c>
      <c r="X492" t="str">
        <f t="shared" si="38"/>
        <v>Low</v>
      </c>
      <c r="Y492">
        <f t="shared" si="39"/>
        <v>123</v>
      </c>
    </row>
    <row r="493" spans="1:25">
      <c r="A493" t="s">
        <v>70</v>
      </c>
      <c r="B493">
        <v>95</v>
      </c>
      <c r="C493">
        <v>510</v>
      </c>
      <c r="D493" t="s">
        <v>21</v>
      </c>
      <c r="E493" t="s">
        <v>21</v>
      </c>
      <c r="F493">
        <v>0</v>
      </c>
      <c r="G493">
        <v>174</v>
      </c>
      <c r="H493">
        <v>57</v>
      </c>
      <c r="I493">
        <v>29.58</v>
      </c>
      <c r="J493">
        <v>281.10000000000002</v>
      </c>
      <c r="K493">
        <v>118</v>
      </c>
      <c r="L493">
        <v>23.89</v>
      </c>
      <c r="M493">
        <v>197.2</v>
      </c>
      <c r="N493">
        <v>94</v>
      </c>
      <c r="O493">
        <v>8.8699999999999992</v>
      </c>
      <c r="P493">
        <v>9.6999999999999993</v>
      </c>
      <c r="Q493">
        <v>2</v>
      </c>
      <c r="R493">
        <v>2.62</v>
      </c>
      <c r="S493">
        <v>0</v>
      </c>
      <c r="T493" t="b">
        <v>0</v>
      </c>
      <c r="U493" t="str">
        <f t="shared" si="35"/>
        <v>Normal Usage</v>
      </c>
      <c r="V493" t="str">
        <f t="shared" si="36"/>
        <v>Normal</v>
      </c>
      <c r="W493" t="str">
        <f t="shared" si="37"/>
        <v>Stable</v>
      </c>
      <c r="X493" t="str">
        <f t="shared" si="38"/>
        <v>Low</v>
      </c>
      <c r="Y493">
        <f t="shared" si="39"/>
        <v>95</v>
      </c>
    </row>
    <row r="494" spans="1:25">
      <c r="A494" t="s">
        <v>40</v>
      </c>
      <c r="B494">
        <v>82</v>
      </c>
      <c r="C494">
        <v>510</v>
      </c>
      <c r="D494" t="s">
        <v>21</v>
      </c>
      <c r="E494" t="s">
        <v>21</v>
      </c>
      <c r="F494">
        <v>0</v>
      </c>
      <c r="G494">
        <v>265.2</v>
      </c>
      <c r="H494">
        <v>122</v>
      </c>
      <c r="I494">
        <v>45.08</v>
      </c>
      <c r="J494">
        <v>178.7</v>
      </c>
      <c r="K494">
        <v>102</v>
      </c>
      <c r="L494">
        <v>15.19</v>
      </c>
      <c r="M494">
        <v>174.7</v>
      </c>
      <c r="N494">
        <v>90</v>
      </c>
      <c r="O494">
        <v>7.86</v>
      </c>
      <c r="P494">
        <v>10.7</v>
      </c>
      <c r="Q494">
        <v>9</v>
      </c>
      <c r="R494">
        <v>2.89</v>
      </c>
      <c r="S494">
        <v>2</v>
      </c>
      <c r="T494" t="b">
        <v>0</v>
      </c>
      <c r="U494" t="str">
        <f t="shared" si="35"/>
        <v>High Usage</v>
      </c>
      <c r="V494" t="str">
        <f t="shared" si="36"/>
        <v>Normal</v>
      </c>
      <c r="W494" t="str">
        <f t="shared" si="37"/>
        <v>Potential Churn</v>
      </c>
      <c r="X494" t="str">
        <f t="shared" si="38"/>
        <v>Low</v>
      </c>
      <c r="Y494">
        <f t="shared" si="39"/>
        <v>82</v>
      </c>
    </row>
    <row r="495" spans="1:25">
      <c r="A495" t="s">
        <v>57</v>
      </c>
      <c r="B495">
        <v>180</v>
      </c>
      <c r="C495">
        <v>415</v>
      </c>
      <c r="D495" t="s">
        <v>21</v>
      </c>
      <c r="E495" t="s">
        <v>21</v>
      </c>
      <c r="F495">
        <v>0</v>
      </c>
      <c r="G495">
        <v>143.30000000000001</v>
      </c>
      <c r="H495">
        <v>134</v>
      </c>
      <c r="I495">
        <v>24.36</v>
      </c>
      <c r="J495">
        <v>180.5</v>
      </c>
      <c r="K495">
        <v>113</v>
      </c>
      <c r="L495">
        <v>15.34</v>
      </c>
      <c r="M495">
        <v>184.2</v>
      </c>
      <c r="N495">
        <v>87</v>
      </c>
      <c r="O495">
        <v>8.2899999999999991</v>
      </c>
      <c r="P495">
        <v>10.1</v>
      </c>
      <c r="Q495">
        <v>4</v>
      </c>
      <c r="R495">
        <v>2.73</v>
      </c>
      <c r="S495">
        <v>1</v>
      </c>
      <c r="T495" t="b">
        <v>0</v>
      </c>
      <c r="U495" t="str">
        <f t="shared" si="35"/>
        <v>Normal Usage</v>
      </c>
      <c r="V495" t="str">
        <f t="shared" si="36"/>
        <v>Normal</v>
      </c>
      <c r="W495" t="str">
        <f t="shared" si="37"/>
        <v>Stable</v>
      </c>
      <c r="X495" t="str">
        <f t="shared" si="38"/>
        <v>Low</v>
      </c>
      <c r="Y495">
        <f t="shared" si="39"/>
        <v>180</v>
      </c>
    </row>
    <row r="496" spans="1:25">
      <c r="A496" t="s">
        <v>57</v>
      </c>
      <c r="B496">
        <v>125</v>
      </c>
      <c r="C496">
        <v>408</v>
      </c>
      <c r="D496" t="s">
        <v>21</v>
      </c>
      <c r="E496" t="s">
        <v>21</v>
      </c>
      <c r="F496">
        <v>0</v>
      </c>
      <c r="G496">
        <v>113</v>
      </c>
      <c r="H496">
        <v>108</v>
      </c>
      <c r="I496">
        <v>19.21</v>
      </c>
      <c r="J496">
        <v>169.2</v>
      </c>
      <c r="K496">
        <v>107</v>
      </c>
      <c r="L496">
        <v>14.38</v>
      </c>
      <c r="M496">
        <v>156.6</v>
      </c>
      <c r="N496">
        <v>61</v>
      </c>
      <c r="O496">
        <v>7.05</v>
      </c>
      <c r="P496">
        <v>9.1999999999999993</v>
      </c>
      <c r="Q496">
        <v>5</v>
      </c>
      <c r="R496">
        <v>2.48</v>
      </c>
      <c r="S496">
        <v>2</v>
      </c>
      <c r="T496" t="b">
        <v>1</v>
      </c>
      <c r="U496" t="str">
        <f t="shared" si="35"/>
        <v>Normal Usage</v>
      </c>
      <c r="V496" t="str">
        <f t="shared" si="36"/>
        <v>Normal</v>
      </c>
      <c r="W496" t="str">
        <f t="shared" si="37"/>
        <v>Stable</v>
      </c>
      <c r="X496" t="str">
        <f t="shared" si="38"/>
        <v>Low</v>
      </c>
      <c r="Y496">
        <f t="shared" si="39"/>
        <v>180</v>
      </c>
    </row>
    <row r="497" spans="1:25">
      <c r="A497" t="s">
        <v>47</v>
      </c>
      <c r="B497">
        <v>138</v>
      </c>
      <c r="C497">
        <v>415</v>
      </c>
      <c r="D497" t="s">
        <v>27</v>
      </c>
      <c r="E497" t="s">
        <v>27</v>
      </c>
      <c r="F497">
        <v>28</v>
      </c>
      <c r="G497">
        <v>211.2</v>
      </c>
      <c r="H497">
        <v>117</v>
      </c>
      <c r="I497">
        <v>35.9</v>
      </c>
      <c r="J497">
        <v>312.5</v>
      </c>
      <c r="K497">
        <v>98</v>
      </c>
      <c r="L497">
        <v>26.56</v>
      </c>
      <c r="M497">
        <v>178</v>
      </c>
      <c r="N497">
        <v>118</v>
      </c>
      <c r="O497">
        <v>8.01</v>
      </c>
      <c r="P497">
        <v>10.7</v>
      </c>
      <c r="Q497">
        <v>2</v>
      </c>
      <c r="R497">
        <v>2.89</v>
      </c>
      <c r="S497">
        <v>3</v>
      </c>
      <c r="T497" t="b">
        <v>1</v>
      </c>
      <c r="U497" t="str">
        <f t="shared" si="35"/>
        <v>High Usage</v>
      </c>
      <c r="V497" t="str">
        <f t="shared" si="36"/>
        <v>Normal</v>
      </c>
      <c r="W497" t="str">
        <f t="shared" si="37"/>
        <v>Stable</v>
      </c>
      <c r="X497" t="str">
        <f t="shared" si="38"/>
        <v>Medium</v>
      </c>
      <c r="Y497">
        <f t="shared" si="39"/>
        <v>138</v>
      </c>
    </row>
    <row r="498" spans="1:25">
      <c r="A498" t="s">
        <v>35</v>
      </c>
      <c r="B498">
        <v>90</v>
      </c>
      <c r="C498">
        <v>408</v>
      </c>
      <c r="D498" t="s">
        <v>21</v>
      </c>
      <c r="E498" t="s">
        <v>21</v>
      </c>
      <c r="F498">
        <v>0</v>
      </c>
      <c r="G498">
        <v>157.9</v>
      </c>
      <c r="H498">
        <v>72</v>
      </c>
      <c r="I498">
        <v>26.84</v>
      </c>
      <c r="J498">
        <v>234</v>
      </c>
      <c r="K498">
        <v>93</v>
      </c>
      <c r="L498">
        <v>19.89</v>
      </c>
      <c r="M498">
        <v>210</v>
      </c>
      <c r="N498">
        <v>86</v>
      </c>
      <c r="O498">
        <v>9.4499999999999993</v>
      </c>
      <c r="P498">
        <v>12.2</v>
      </c>
      <c r="Q498">
        <v>5</v>
      </c>
      <c r="R498">
        <v>3.29</v>
      </c>
      <c r="S498">
        <v>2</v>
      </c>
      <c r="T498" t="b">
        <v>0</v>
      </c>
      <c r="U498" t="str">
        <f t="shared" si="35"/>
        <v>Normal Usage</v>
      </c>
      <c r="V498" t="str">
        <f t="shared" si="36"/>
        <v>Normal</v>
      </c>
      <c r="W498" t="str">
        <f t="shared" si="37"/>
        <v>Stable</v>
      </c>
      <c r="X498" t="str">
        <f t="shared" si="38"/>
        <v>Low</v>
      </c>
      <c r="Y498">
        <f t="shared" si="39"/>
        <v>90</v>
      </c>
    </row>
    <row r="499" spans="1:25">
      <c r="A499" t="s">
        <v>53</v>
      </c>
      <c r="B499">
        <v>190</v>
      </c>
      <c r="C499">
        <v>408</v>
      </c>
      <c r="D499" t="s">
        <v>21</v>
      </c>
      <c r="E499" t="s">
        <v>21</v>
      </c>
      <c r="F499">
        <v>0</v>
      </c>
      <c r="G499">
        <v>182.2</v>
      </c>
      <c r="H499">
        <v>101</v>
      </c>
      <c r="I499">
        <v>30.97</v>
      </c>
      <c r="J499">
        <v>212.3</v>
      </c>
      <c r="K499">
        <v>95</v>
      </c>
      <c r="L499">
        <v>18.05</v>
      </c>
      <c r="M499">
        <v>233</v>
      </c>
      <c r="N499">
        <v>123</v>
      </c>
      <c r="O499">
        <v>10.49</v>
      </c>
      <c r="P499">
        <v>9.3000000000000007</v>
      </c>
      <c r="Q499">
        <v>4</v>
      </c>
      <c r="R499">
        <v>2.5099999999999998</v>
      </c>
      <c r="S499">
        <v>2</v>
      </c>
      <c r="T499" t="b">
        <v>0</v>
      </c>
      <c r="U499" t="str">
        <f t="shared" si="35"/>
        <v>Normal Usage</v>
      </c>
      <c r="V499" t="str">
        <f t="shared" si="36"/>
        <v>Normal</v>
      </c>
      <c r="W499" t="str">
        <f t="shared" si="37"/>
        <v>Stable</v>
      </c>
      <c r="X499" t="str">
        <f t="shared" si="38"/>
        <v>Low</v>
      </c>
      <c r="Y499">
        <f t="shared" si="39"/>
        <v>190</v>
      </c>
    </row>
    <row r="500" spans="1:25">
      <c r="A500" t="s">
        <v>71</v>
      </c>
      <c r="B500">
        <v>143</v>
      </c>
      <c r="C500">
        <v>510</v>
      </c>
      <c r="D500" t="s">
        <v>21</v>
      </c>
      <c r="E500" t="s">
        <v>27</v>
      </c>
      <c r="F500">
        <v>33</v>
      </c>
      <c r="G500">
        <v>141.4</v>
      </c>
      <c r="H500">
        <v>130</v>
      </c>
      <c r="I500">
        <v>24.04</v>
      </c>
      <c r="J500">
        <v>186.4</v>
      </c>
      <c r="K500">
        <v>114</v>
      </c>
      <c r="L500">
        <v>15.84</v>
      </c>
      <c r="M500">
        <v>210</v>
      </c>
      <c r="N500">
        <v>111</v>
      </c>
      <c r="O500">
        <v>9.4499999999999993</v>
      </c>
      <c r="P500">
        <v>7.7</v>
      </c>
      <c r="Q500">
        <v>6</v>
      </c>
      <c r="R500">
        <v>2.08</v>
      </c>
      <c r="S500">
        <v>1</v>
      </c>
      <c r="T500" t="b">
        <v>0</v>
      </c>
      <c r="U500" t="str">
        <f t="shared" si="35"/>
        <v>Normal Usage</v>
      </c>
      <c r="V500" t="str">
        <f t="shared" si="36"/>
        <v>Normal</v>
      </c>
      <c r="W500" t="str">
        <f t="shared" si="37"/>
        <v>Stable</v>
      </c>
      <c r="X500" t="str">
        <f t="shared" si="38"/>
        <v>Low</v>
      </c>
      <c r="Y500">
        <f t="shared" si="39"/>
        <v>143</v>
      </c>
    </row>
    <row r="501" spans="1:25">
      <c r="A501" t="s">
        <v>63</v>
      </c>
      <c r="B501">
        <v>183</v>
      </c>
      <c r="C501">
        <v>510</v>
      </c>
      <c r="D501" t="s">
        <v>21</v>
      </c>
      <c r="E501" t="s">
        <v>21</v>
      </c>
      <c r="F501">
        <v>0</v>
      </c>
      <c r="G501">
        <v>108.3</v>
      </c>
      <c r="H501">
        <v>87</v>
      </c>
      <c r="I501">
        <v>18.41</v>
      </c>
      <c r="J501">
        <v>183.6</v>
      </c>
      <c r="K501">
        <v>116</v>
      </c>
      <c r="L501">
        <v>15.61</v>
      </c>
      <c r="M501">
        <v>176.6</v>
      </c>
      <c r="N501">
        <v>109</v>
      </c>
      <c r="O501">
        <v>7.95</v>
      </c>
      <c r="P501">
        <v>13.5</v>
      </c>
      <c r="Q501">
        <v>2</v>
      </c>
      <c r="R501">
        <v>3.65</v>
      </c>
      <c r="S501">
        <v>0</v>
      </c>
      <c r="T501" t="b">
        <v>0</v>
      </c>
      <c r="U501" t="str">
        <f t="shared" si="35"/>
        <v>Normal Usage</v>
      </c>
      <c r="V501" t="str">
        <f t="shared" si="36"/>
        <v>Normal</v>
      </c>
      <c r="W501" t="str">
        <f t="shared" si="37"/>
        <v>Stable</v>
      </c>
      <c r="X501" t="str">
        <f t="shared" si="38"/>
        <v>Low</v>
      </c>
      <c r="Y501">
        <f t="shared" si="39"/>
        <v>183</v>
      </c>
    </row>
    <row r="502" spans="1:25">
      <c r="A502" t="s">
        <v>36</v>
      </c>
      <c r="B502">
        <v>58</v>
      </c>
      <c r="C502">
        <v>415</v>
      </c>
      <c r="D502" t="s">
        <v>21</v>
      </c>
      <c r="E502" t="s">
        <v>21</v>
      </c>
      <c r="F502">
        <v>0</v>
      </c>
      <c r="G502">
        <v>247.2</v>
      </c>
      <c r="H502">
        <v>116</v>
      </c>
      <c r="I502">
        <v>42.02</v>
      </c>
      <c r="J502">
        <v>303.7</v>
      </c>
      <c r="K502">
        <v>103</v>
      </c>
      <c r="L502">
        <v>25.81</v>
      </c>
      <c r="M502">
        <v>105.4</v>
      </c>
      <c r="N502">
        <v>94</v>
      </c>
      <c r="O502">
        <v>4.74</v>
      </c>
      <c r="P502">
        <v>9.3000000000000007</v>
      </c>
      <c r="Q502">
        <v>2</v>
      </c>
      <c r="R502">
        <v>2.5099999999999998</v>
      </c>
      <c r="S502">
        <v>2</v>
      </c>
      <c r="T502" t="b">
        <v>1</v>
      </c>
      <c r="U502" t="str">
        <f t="shared" si="35"/>
        <v>High Usage</v>
      </c>
      <c r="V502" t="str">
        <f t="shared" si="36"/>
        <v>Normal</v>
      </c>
      <c r="W502" t="str">
        <f t="shared" si="37"/>
        <v>Stable</v>
      </c>
      <c r="X502" t="str">
        <f t="shared" si="38"/>
        <v>Low</v>
      </c>
      <c r="Y502">
        <f t="shared" si="39"/>
        <v>58</v>
      </c>
    </row>
    <row r="503" spans="1:25">
      <c r="A503" t="s">
        <v>70</v>
      </c>
      <c r="B503">
        <v>123</v>
      </c>
      <c r="C503">
        <v>415</v>
      </c>
      <c r="D503" t="s">
        <v>21</v>
      </c>
      <c r="E503" t="s">
        <v>21</v>
      </c>
      <c r="F503">
        <v>0</v>
      </c>
      <c r="G503">
        <v>166.9</v>
      </c>
      <c r="H503">
        <v>98</v>
      </c>
      <c r="I503">
        <v>28.37</v>
      </c>
      <c r="J503">
        <v>221.8</v>
      </c>
      <c r="K503">
        <v>77</v>
      </c>
      <c r="L503">
        <v>18.850000000000001</v>
      </c>
      <c r="M503">
        <v>243.9</v>
      </c>
      <c r="N503">
        <v>114</v>
      </c>
      <c r="O503">
        <v>10.98</v>
      </c>
      <c r="P503">
        <v>12.8</v>
      </c>
      <c r="Q503">
        <v>4</v>
      </c>
      <c r="R503">
        <v>3.46</v>
      </c>
      <c r="S503">
        <v>3</v>
      </c>
      <c r="T503" t="b">
        <v>0</v>
      </c>
      <c r="U503" t="str">
        <f t="shared" si="35"/>
        <v>Normal Usage</v>
      </c>
      <c r="V503" t="str">
        <f t="shared" si="36"/>
        <v>Normal</v>
      </c>
      <c r="W503" t="str">
        <f t="shared" si="37"/>
        <v>Stable</v>
      </c>
      <c r="X503" t="str">
        <f t="shared" si="38"/>
        <v>Medium</v>
      </c>
      <c r="Y503">
        <f t="shared" si="39"/>
        <v>123</v>
      </c>
    </row>
    <row r="504" spans="1:25">
      <c r="A504" t="s">
        <v>72</v>
      </c>
      <c r="B504">
        <v>155</v>
      </c>
      <c r="C504">
        <v>510</v>
      </c>
      <c r="D504" t="s">
        <v>21</v>
      </c>
      <c r="E504" t="s">
        <v>21</v>
      </c>
      <c r="F504">
        <v>0</v>
      </c>
      <c r="G504">
        <v>71.2</v>
      </c>
      <c r="H504">
        <v>90</v>
      </c>
      <c r="I504">
        <v>12.1</v>
      </c>
      <c r="J504">
        <v>304.39999999999998</v>
      </c>
      <c r="K504">
        <v>119</v>
      </c>
      <c r="L504">
        <v>25.87</v>
      </c>
      <c r="M504">
        <v>183.3</v>
      </c>
      <c r="N504">
        <v>103</v>
      </c>
      <c r="O504">
        <v>8.25</v>
      </c>
      <c r="P504">
        <v>8.6</v>
      </c>
      <c r="Q504">
        <v>4</v>
      </c>
      <c r="R504">
        <v>2.3199999999999998</v>
      </c>
      <c r="S504">
        <v>0</v>
      </c>
      <c r="T504" t="b">
        <v>0</v>
      </c>
      <c r="U504" t="str">
        <f t="shared" si="35"/>
        <v>Normal Usage</v>
      </c>
      <c r="V504" t="str">
        <f t="shared" si="36"/>
        <v>Normal</v>
      </c>
      <c r="W504" t="str">
        <f t="shared" si="37"/>
        <v>Stable</v>
      </c>
      <c r="X504" t="str">
        <f t="shared" si="38"/>
        <v>Low</v>
      </c>
      <c r="Y504">
        <f t="shared" si="39"/>
        <v>155</v>
      </c>
    </row>
    <row r="505" spans="1:25">
      <c r="A505" t="s">
        <v>32</v>
      </c>
      <c r="B505">
        <v>53</v>
      </c>
      <c r="C505">
        <v>415</v>
      </c>
      <c r="D505" t="s">
        <v>21</v>
      </c>
      <c r="E505" t="s">
        <v>21</v>
      </c>
      <c r="F505">
        <v>0</v>
      </c>
      <c r="G505">
        <v>164.1</v>
      </c>
      <c r="H505">
        <v>106</v>
      </c>
      <c r="I505">
        <v>27.9</v>
      </c>
      <c r="J505">
        <v>206</v>
      </c>
      <c r="K505">
        <v>56</v>
      </c>
      <c r="L505">
        <v>17.510000000000002</v>
      </c>
      <c r="M505">
        <v>194.7</v>
      </c>
      <c r="N505">
        <v>124</v>
      </c>
      <c r="O505">
        <v>8.76</v>
      </c>
      <c r="P505">
        <v>11.4</v>
      </c>
      <c r="Q505">
        <v>2</v>
      </c>
      <c r="R505">
        <v>3.08</v>
      </c>
      <c r="S505">
        <v>1</v>
      </c>
      <c r="T505" t="b">
        <v>0</v>
      </c>
      <c r="U505" t="str">
        <f t="shared" si="35"/>
        <v>Normal Usage</v>
      </c>
      <c r="V505" t="str">
        <f t="shared" si="36"/>
        <v>Normal</v>
      </c>
      <c r="W505" t="str">
        <f t="shared" si="37"/>
        <v>Stable</v>
      </c>
      <c r="X505" t="str">
        <f t="shared" si="38"/>
        <v>Low</v>
      </c>
      <c r="Y505">
        <f t="shared" si="39"/>
        <v>53</v>
      </c>
    </row>
    <row r="506" spans="1:25">
      <c r="A506" t="s">
        <v>34</v>
      </c>
      <c r="B506">
        <v>101</v>
      </c>
      <c r="C506">
        <v>415</v>
      </c>
      <c r="D506" t="s">
        <v>21</v>
      </c>
      <c r="E506" t="s">
        <v>21</v>
      </c>
      <c r="F506">
        <v>0</v>
      </c>
      <c r="G506">
        <v>154.4</v>
      </c>
      <c r="H506">
        <v>130</v>
      </c>
      <c r="I506">
        <v>26.25</v>
      </c>
      <c r="J506">
        <v>217.2</v>
      </c>
      <c r="K506">
        <v>101</v>
      </c>
      <c r="L506">
        <v>18.46</v>
      </c>
      <c r="M506">
        <v>185.4</v>
      </c>
      <c r="N506">
        <v>52</v>
      </c>
      <c r="O506">
        <v>8.34</v>
      </c>
      <c r="P506">
        <v>13.9</v>
      </c>
      <c r="Q506">
        <v>4</v>
      </c>
      <c r="R506">
        <v>3.75</v>
      </c>
      <c r="S506">
        <v>1</v>
      </c>
      <c r="T506" t="b">
        <v>0</v>
      </c>
      <c r="U506" t="str">
        <f t="shared" si="35"/>
        <v>Normal Usage</v>
      </c>
      <c r="V506" t="str">
        <f t="shared" si="36"/>
        <v>Normal</v>
      </c>
      <c r="W506" t="str">
        <f t="shared" si="37"/>
        <v>Stable</v>
      </c>
      <c r="X506" t="str">
        <f t="shared" si="38"/>
        <v>Low</v>
      </c>
      <c r="Y506">
        <f t="shared" si="39"/>
        <v>101</v>
      </c>
    </row>
    <row r="507" spans="1:25">
      <c r="A507" t="s">
        <v>68</v>
      </c>
      <c r="B507">
        <v>122</v>
      </c>
      <c r="C507">
        <v>408</v>
      </c>
      <c r="D507" t="s">
        <v>21</v>
      </c>
      <c r="E507" t="s">
        <v>21</v>
      </c>
      <c r="F507">
        <v>0</v>
      </c>
      <c r="G507">
        <v>231.2</v>
      </c>
      <c r="H507">
        <v>141</v>
      </c>
      <c r="I507">
        <v>39.299999999999997</v>
      </c>
      <c r="J507">
        <v>267.8</v>
      </c>
      <c r="K507">
        <v>136</v>
      </c>
      <c r="L507">
        <v>22.76</v>
      </c>
      <c r="M507">
        <v>240.3</v>
      </c>
      <c r="N507">
        <v>100</v>
      </c>
      <c r="O507">
        <v>10.81</v>
      </c>
      <c r="P507">
        <v>8.8000000000000007</v>
      </c>
      <c r="Q507">
        <v>5</v>
      </c>
      <c r="R507">
        <v>2.38</v>
      </c>
      <c r="S507">
        <v>1</v>
      </c>
      <c r="T507" t="b">
        <v>1</v>
      </c>
      <c r="U507" t="str">
        <f t="shared" si="35"/>
        <v>High Usage</v>
      </c>
      <c r="V507" t="str">
        <f t="shared" si="36"/>
        <v>Normal</v>
      </c>
      <c r="W507" t="str">
        <f t="shared" si="37"/>
        <v>Stable</v>
      </c>
      <c r="X507" t="str">
        <f t="shared" si="38"/>
        <v>Low</v>
      </c>
      <c r="Y507">
        <f t="shared" si="39"/>
        <v>122</v>
      </c>
    </row>
    <row r="508" spans="1:25">
      <c r="A508" t="s">
        <v>30</v>
      </c>
      <c r="B508">
        <v>163</v>
      </c>
      <c r="C508">
        <v>415</v>
      </c>
      <c r="D508" t="s">
        <v>21</v>
      </c>
      <c r="E508" t="s">
        <v>21</v>
      </c>
      <c r="F508">
        <v>0</v>
      </c>
      <c r="G508">
        <v>202.9</v>
      </c>
      <c r="H508">
        <v>100</v>
      </c>
      <c r="I508">
        <v>34.49</v>
      </c>
      <c r="J508">
        <v>178.6</v>
      </c>
      <c r="K508">
        <v>46</v>
      </c>
      <c r="L508">
        <v>15.18</v>
      </c>
      <c r="M508">
        <v>203.8</v>
      </c>
      <c r="N508">
        <v>116</v>
      </c>
      <c r="O508">
        <v>9.17</v>
      </c>
      <c r="P508">
        <v>12.8</v>
      </c>
      <c r="Q508">
        <v>3</v>
      </c>
      <c r="R508">
        <v>3.46</v>
      </c>
      <c r="S508">
        <v>5</v>
      </c>
      <c r="T508" t="b">
        <v>0</v>
      </c>
      <c r="U508" t="str">
        <f t="shared" si="35"/>
        <v>High Usage</v>
      </c>
      <c r="V508" t="str">
        <f t="shared" si="36"/>
        <v>Normal</v>
      </c>
      <c r="W508" t="str">
        <f t="shared" si="37"/>
        <v>Potential Churn</v>
      </c>
      <c r="X508" t="str">
        <f t="shared" si="38"/>
        <v>Medium</v>
      </c>
      <c r="Y508">
        <f t="shared" si="39"/>
        <v>163</v>
      </c>
    </row>
    <row r="509" spans="1:25">
      <c r="A509" t="s">
        <v>68</v>
      </c>
      <c r="B509">
        <v>120</v>
      </c>
      <c r="C509">
        <v>415</v>
      </c>
      <c r="D509" t="s">
        <v>21</v>
      </c>
      <c r="E509" t="s">
        <v>21</v>
      </c>
      <c r="F509">
        <v>0</v>
      </c>
      <c r="G509">
        <v>177.2</v>
      </c>
      <c r="H509">
        <v>88</v>
      </c>
      <c r="I509">
        <v>30.12</v>
      </c>
      <c r="J509">
        <v>270.39999999999998</v>
      </c>
      <c r="K509">
        <v>99</v>
      </c>
      <c r="L509">
        <v>22.98</v>
      </c>
      <c r="M509">
        <v>231.5</v>
      </c>
      <c r="N509">
        <v>90</v>
      </c>
      <c r="O509">
        <v>10.42</v>
      </c>
      <c r="P509">
        <v>14</v>
      </c>
      <c r="Q509">
        <v>2</v>
      </c>
      <c r="R509">
        <v>3.78</v>
      </c>
      <c r="S509">
        <v>2</v>
      </c>
      <c r="T509" t="b">
        <v>0</v>
      </c>
      <c r="U509" t="str">
        <f t="shared" si="35"/>
        <v>Normal Usage</v>
      </c>
      <c r="V509" t="str">
        <f t="shared" si="36"/>
        <v>Normal</v>
      </c>
      <c r="W509" t="str">
        <f t="shared" si="37"/>
        <v>Stable</v>
      </c>
      <c r="X509" t="str">
        <f t="shared" si="38"/>
        <v>Low</v>
      </c>
      <c r="Y509">
        <f t="shared" si="39"/>
        <v>120</v>
      </c>
    </row>
    <row r="510" spans="1:25">
      <c r="A510" t="s">
        <v>70</v>
      </c>
      <c r="B510">
        <v>196</v>
      </c>
      <c r="C510">
        <v>415</v>
      </c>
      <c r="D510" t="s">
        <v>21</v>
      </c>
      <c r="E510" t="s">
        <v>21</v>
      </c>
      <c r="F510">
        <v>0</v>
      </c>
      <c r="G510">
        <v>133.1</v>
      </c>
      <c r="H510">
        <v>80</v>
      </c>
      <c r="I510">
        <v>22.63</v>
      </c>
      <c r="J510">
        <v>206.5</v>
      </c>
      <c r="K510">
        <v>120</v>
      </c>
      <c r="L510">
        <v>17.55</v>
      </c>
      <c r="M510">
        <v>221.6</v>
      </c>
      <c r="N510">
        <v>96</v>
      </c>
      <c r="O510">
        <v>9.9700000000000006</v>
      </c>
      <c r="P510">
        <v>10.3</v>
      </c>
      <c r="Q510">
        <v>8</v>
      </c>
      <c r="R510">
        <v>2.78</v>
      </c>
      <c r="S510">
        <v>1</v>
      </c>
      <c r="T510" t="b">
        <v>0</v>
      </c>
      <c r="U510" t="str">
        <f t="shared" si="35"/>
        <v>Normal Usage</v>
      </c>
      <c r="V510" t="str">
        <f t="shared" si="36"/>
        <v>Normal</v>
      </c>
      <c r="W510" t="str">
        <f t="shared" si="37"/>
        <v>Stable</v>
      </c>
      <c r="X510" t="str">
        <f t="shared" si="38"/>
        <v>Low</v>
      </c>
      <c r="Y510">
        <f t="shared" si="39"/>
        <v>196</v>
      </c>
    </row>
    <row r="511" spans="1:25">
      <c r="A511" t="s">
        <v>41</v>
      </c>
      <c r="B511">
        <v>147</v>
      </c>
      <c r="C511">
        <v>415</v>
      </c>
      <c r="D511" t="s">
        <v>21</v>
      </c>
      <c r="E511" t="s">
        <v>27</v>
      </c>
      <c r="F511">
        <v>38</v>
      </c>
      <c r="G511">
        <v>243.4</v>
      </c>
      <c r="H511">
        <v>126</v>
      </c>
      <c r="I511">
        <v>41.38</v>
      </c>
      <c r="J511">
        <v>273.8</v>
      </c>
      <c r="K511">
        <v>109</v>
      </c>
      <c r="L511">
        <v>23.27</v>
      </c>
      <c r="M511">
        <v>282.89999999999998</v>
      </c>
      <c r="N511">
        <v>91</v>
      </c>
      <c r="O511">
        <v>12.73</v>
      </c>
      <c r="P511">
        <v>14.1</v>
      </c>
      <c r="Q511">
        <v>8</v>
      </c>
      <c r="R511">
        <v>3.81</v>
      </c>
      <c r="S511">
        <v>2</v>
      </c>
      <c r="T511" t="b">
        <v>0</v>
      </c>
      <c r="U511" t="str">
        <f t="shared" si="35"/>
        <v>High Usage</v>
      </c>
      <c r="V511" t="str">
        <f t="shared" si="36"/>
        <v>Normal</v>
      </c>
      <c r="W511" t="str">
        <f t="shared" si="37"/>
        <v>Stable</v>
      </c>
      <c r="X511" t="str">
        <f t="shared" si="38"/>
        <v>Low</v>
      </c>
      <c r="Y511">
        <f t="shared" si="39"/>
        <v>147</v>
      </c>
    </row>
    <row r="512" spans="1:25">
      <c r="A512" t="s">
        <v>22</v>
      </c>
      <c r="B512">
        <v>81</v>
      </c>
      <c r="C512">
        <v>408</v>
      </c>
      <c r="D512" t="s">
        <v>21</v>
      </c>
      <c r="E512" t="s">
        <v>27</v>
      </c>
      <c r="F512">
        <v>46</v>
      </c>
      <c r="G512">
        <v>168.3</v>
      </c>
      <c r="H512">
        <v>124</v>
      </c>
      <c r="I512">
        <v>28.61</v>
      </c>
      <c r="J512">
        <v>270.89999999999998</v>
      </c>
      <c r="K512">
        <v>103</v>
      </c>
      <c r="L512">
        <v>23.03</v>
      </c>
      <c r="M512">
        <v>222.5</v>
      </c>
      <c r="N512">
        <v>98</v>
      </c>
      <c r="O512">
        <v>10.01</v>
      </c>
      <c r="P512">
        <v>6.7</v>
      </c>
      <c r="Q512">
        <v>2</v>
      </c>
      <c r="R512">
        <v>1.81</v>
      </c>
      <c r="S512">
        <v>4</v>
      </c>
      <c r="T512" t="b">
        <v>0</v>
      </c>
      <c r="U512" t="str">
        <f t="shared" si="35"/>
        <v>Normal Usage</v>
      </c>
      <c r="V512" t="str">
        <f t="shared" si="36"/>
        <v>Normal</v>
      </c>
      <c r="W512" t="str">
        <f t="shared" si="37"/>
        <v>Potential Churn</v>
      </c>
      <c r="X512" t="str">
        <f t="shared" si="38"/>
        <v>Medium</v>
      </c>
      <c r="Y512">
        <f t="shared" si="39"/>
        <v>81</v>
      </c>
    </row>
    <row r="513" spans="1:25">
      <c r="A513" t="s">
        <v>47</v>
      </c>
      <c r="B513">
        <v>165</v>
      </c>
      <c r="C513">
        <v>415</v>
      </c>
      <c r="D513" t="s">
        <v>21</v>
      </c>
      <c r="E513" t="s">
        <v>27</v>
      </c>
      <c r="F513">
        <v>33</v>
      </c>
      <c r="G513">
        <v>111.6</v>
      </c>
      <c r="H513">
        <v>140</v>
      </c>
      <c r="I513">
        <v>18.97</v>
      </c>
      <c r="J513">
        <v>213.3</v>
      </c>
      <c r="K513">
        <v>111</v>
      </c>
      <c r="L513">
        <v>18.13</v>
      </c>
      <c r="M513">
        <v>267.60000000000002</v>
      </c>
      <c r="N513">
        <v>115</v>
      </c>
      <c r="O513">
        <v>12.04</v>
      </c>
      <c r="P513">
        <v>16</v>
      </c>
      <c r="Q513">
        <v>3</v>
      </c>
      <c r="R513">
        <v>4.32</v>
      </c>
      <c r="S513">
        <v>0</v>
      </c>
      <c r="T513" t="b">
        <v>0</v>
      </c>
      <c r="U513" t="str">
        <f t="shared" si="35"/>
        <v>Normal Usage</v>
      </c>
      <c r="V513" t="str">
        <f t="shared" si="36"/>
        <v>Normal</v>
      </c>
      <c r="W513" t="str">
        <f t="shared" si="37"/>
        <v>Stable</v>
      </c>
      <c r="X513" t="str">
        <f t="shared" si="38"/>
        <v>Low</v>
      </c>
      <c r="Y513">
        <f t="shared" si="39"/>
        <v>165</v>
      </c>
    </row>
    <row r="514" spans="1:25">
      <c r="A514" t="s">
        <v>70</v>
      </c>
      <c r="B514">
        <v>115</v>
      </c>
      <c r="C514">
        <v>415</v>
      </c>
      <c r="D514" t="s">
        <v>21</v>
      </c>
      <c r="E514" t="s">
        <v>21</v>
      </c>
      <c r="F514">
        <v>0</v>
      </c>
      <c r="G514">
        <v>206.2</v>
      </c>
      <c r="H514">
        <v>113</v>
      </c>
      <c r="I514">
        <v>35.049999999999997</v>
      </c>
      <c r="J514">
        <v>176.4</v>
      </c>
      <c r="K514">
        <v>102</v>
      </c>
      <c r="L514">
        <v>14.99</v>
      </c>
      <c r="M514">
        <v>297.10000000000002</v>
      </c>
      <c r="N514">
        <v>119</v>
      </c>
      <c r="O514">
        <v>13.37</v>
      </c>
      <c r="P514">
        <v>11</v>
      </c>
      <c r="Q514">
        <v>7</v>
      </c>
      <c r="R514">
        <v>2.97</v>
      </c>
      <c r="S514">
        <v>1</v>
      </c>
      <c r="T514" t="b">
        <v>0</v>
      </c>
      <c r="U514" t="str">
        <f t="shared" si="35"/>
        <v>High Usage</v>
      </c>
      <c r="V514" t="str">
        <f t="shared" si="36"/>
        <v>Normal</v>
      </c>
      <c r="W514" t="str">
        <f t="shared" si="37"/>
        <v>Stable</v>
      </c>
      <c r="X514" t="str">
        <f t="shared" si="38"/>
        <v>Low</v>
      </c>
      <c r="Y514">
        <f t="shared" si="39"/>
        <v>115</v>
      </c>
    </row>
    <row r="515" spans="1:25">
      <c r="A515" t="s">
        <v>48</v>
      </c>
      <c r="B515">
        <v>90</v>
      </c>
      <c r="C515">
        <v>408</v>
      </c>
      <c r="D515" t="s">
        <v>21</v>
      </c>
      <c r="E515" t="s">
        <v>27</v>
      </c>
      <c r="F515">
        <v>27</v>
      </c>
      <c r="G515">
        <v>156.69999999999999</v>
      </c>
      <c r="H515">
        <v>51</v>
      </c>
      <c r="I515">
        <v>26.64</v>
      </c>
      <c r="J515">
        <v>236.5</v>
      </c>
      <c r="K515">
        <v>118</v>
      </c>
      <c r="L515">
        <v>20.100000000000001</v>
      </c>
      <c r="M515">
        <v>123.2</v>
      </c>
      <c r="N515">
        <v>111</v>
      </c>
      <c r="O515">
        <v>5.54</v>
      </c>
      <c r="P515">
        <v>12.6</v>
      </c>
      <c r="Q515">
        <v>6</v>
      </c>
      <c r="R515">
        <v>3.4</v>
      </c>
      <c r="S515">
        <v>2</v>
      </c>
      <c r="T515" t="b">
        <v>0</v>
      </c>
      <c r="U515" t="str">
        <f t="shared" ref="U515:U578" si="40">IF(G515&gt;200,"High Usage","Normal Usage")</f>
        <v>Normal Usage</v>
      </c>
      <c r="V515" t="str">
        <f t="shared" ref="V515:V578" si="41">IF(AND(S515&gt;3,D515="Yes"),"High Risk","Normal")</f>
        <v>Normal</v>
      </c>
      <c r="W515" t="str">
        <f t="shared" ref="W515:W578" si="42">IF(OR(S515&gt;3,G515&gt;250),"Potential Churn","Stable")</f>
        <v>Stable</v>
      </c>
      <c r="X515" t="str">
        <f t="shared" ref="X515:X578" si="43">IF(S515&gt;5,"Critical",IF(S515&gt;=3,"Medium","Low"))</f>
        <v>Low</v>
      </c>
      <c r="Y515">
        <f t="shared" ref="Y515:Y578" si="44">VLOOKUP(A515,A514:U1181,2,FALSE)</f>
        <v>90</v>
      </c>
    </row>
    <row r="516" spans="1:25">
      <c r="A516" t="s">
        <v>70</v>
      </c>
      <c r="B516">
        <v>37</v>
      </c>
      <c r="C516">
        <v>415</v>
      </c>
      <c r="D516" t="s">
        <v>21</v>
      </c>
      <c r="E516" t="s">
        <v>21</v>
      </c>
      <c r="F516">
        <v>0</v>
      </c>
      <c r="G516">
        <v>221</v>
      </c>
      <c r="H516">
        <v>126</v>
      </c>
      <c r="I516">
        <v>37.57</v>
      </c>
      <c r="J516">
        <v>204.5</v>
      </c>
      <c r="K516">
        <v>110</v>
      </c>
      <c r="L516">
        <v>17.38</v>
      </c>
      <c r="M516">
        <v>118</v>
      </c>
      <c r="N516">
        <v>98</v>
      </c>
      <c r="O516">
        <v>5.31</v>
      </c>
      <c r="P516">
        <v>6.8</v>
      </c>
      <c r="Q516">
        <v>3</v>
      </c>
      <c r="R516">
        <v>1.84</v>
      </c>
      <c r="S516">
        <v>4</v>
      </c>
      <c r="T516" t="b">
        <v>0</v>
      </c>
      <c r="U516" t="str">
        <f t="shared" si="40"/>
        <v>High Usage</v>
      </c>
      <c r="V516" t="str">
        <f t="shared" si="41"/>
        <v>Normal</v>
      </c>
      <c r="W516" t="str">
        <f t="shared" si="42"/>
        <v>Potential Churn</v>
      </c>
      <c r="X516" t="str">
        <f t="shared" si="43"/>
        <v>Medium</v>
      </c>
      <c r="Y516">
        <f t="shared" si="44"/>
        <v>37</v>
      </c>
    </row>
    <row r="517" spans="1:25">
      <c r="A517" t="s">
        <v>53</v>
      </c>
      <c r="B517">
        <v>76</v>
      </c>
      <c r="C517">
        <v>510</v>
      </c>
      <c r="D517" t="s">
        <v>21</v>
      </c>
      <c r="E517" t="s">
        <v>21</v>
      </c>
      <c r="F517">
        <v>0</v>
      </c>
      <c r="G517">
        <v>165.7</v>
      </c>
      <c r="H517">
        <v>94</v>
      </c>
      <c r="I517">
        <v>28.17</v>
      </c>
      <c r="J517">
        <v>257.39999999999998</v>
      </c>
      <c r="K517">
        <v>80</v>
      </c>
      <c r="L517">
        <v>21.88</v>
      </c>
      <c r="M517">
        <v>170.8</v>
      </c>
      <c r="N517">
        <v>114</v>
      </c>
      <c r="O517">
        <v>7.69</v>
      </c>
      <c r="P517">
        <v>10</v>
      </c>
      <c r="Q517">
        <v>4</v>
      </c>
      <c r="R517">
        <v>2.7</v>
      </c>
      <c r="S517">
        <v>1</v>
      </c>
      <c r="T517" t="b">
        <v>0</v>
      </c>
      <c r="U517" t="str">
        <f t="shared" si="40"/>
        <v>Normal Usage</v>
      </c>
      <c r="V517" t="str">
        <f t="shared" si="41"/>
        <v>Normal</v>
      </c>
      <c r="W517" t="str">
        <f t="shared" si="42"/>
        <v>Stable</v>
      </c>
      <c r="X517" t="str">
        <f t="shared" si="43"/>
        <v>Low</v>
      </c>
      <c r="Y517">
        <f t="shared" si="44"/>
        <v>76</v>
      </c>
    </row>
    <row r="518" spans="1:25">
      <c r="A518" t="s">
        <v>34</v>
      </c>
      <c r="B518">
        <v>109</v>
      </c>
      <c r="C518">
        <v>510</v>
      </c>
      <c r="D518" t="s">
        <v>21</v>
      </c>
      <c r="E518" t="s">
        <v>21</v>
      </c>
      <c r="F518">
        <v>0</v>
      </c>
      <c r="G518">
        <v>154.80000000000001</v>
      </c>
      <c r="H518">
        <v>82</v>
      </c>
      <c r="I518">
        <v>26.32</v>
      </c>
      <c r="J518">
        <v>287.7</v>
      </c>
      <c r="K518">
        <v>109</v>
      </c>
      <c r="L518">
        <v>24.45</v>
      </c>
      <c r="M518">
        <v>208.4</v>
      </c>
      <c r="N518">
        <v>80</v>
      </c>
      <c r="O518">
        <v>9.3800000000000008</v>
      </c>
      <c r="P518">
        <v>5.9</v>
      </c>
      <c r="Q518">
        <v>9</v>
      </c>
      <c r="R518">
        <v>1.59</v>
      </c>
      <c r="S518">
        <v>3</v>
      </c>
      <c r="T518" t="b">
        <v>0</v>
      </c>
      <c r="U518" t="str">
        <f t="shared" si="40"/>
        <v>Normal Usage</v>
      </c>
      <c r="V518" t="str">
        <f t="shared" si="41"/>
        <v>Normal</v>
      </c>
      <c r="W518" t="str">
        <f t="shared" si="42"/>
        <v>Stable</v>
      </c>
      <c r="X518" t="str">
        <f t="shared" si="43"/>
        <v>Medium</v>
      </c>
      <c r="Y518">
        <f t="shared" si="44"/>
        <v>109</v>
      </c>
    </row>
    <row r="519" spans="1:25">
      <c r="A519" t="s">
        <v>25</v>
      </c>
      <c r="B519">
        <v>105</v>
      </c>
      <c r="C519">
        <v>510</v>
      </c>
      <c r="D519" t="s">
        <v>21</v>
      </c>
      <c r="E519" t="s">
        <v>21</v>
      </c>
      <c r="F519">
        <v>0</v>
      </c>
      <c r="G519">
        <v>125.4</v>
      </c>
      <c r="H519">
        <v>116</v>
      </c>
      <c r="I519">
        <v>21.32</v>
      </c>
      <c r="J519">
        <v>261.5</v>
      </c>
      <c r="K519">
        <v>95</v>
      </c>
      <c r="L519">
        <v>22.23</v>
      </c>
      <c r="M519">
        <v>241.6</v>
      </c>
      <c r="N519">
        <v>104</v>
      </c>
      <c r="O519">
        <v>10.87</v>
      </c>
      <c r="P519">
        <v>11.4</v>
      </c>
      <c r="Q519">
        <v>9</v>
      </c>
      <c r="R519">
        <v>3.08</v>
      </c>
      <c r="S519">
        <v>2</v>
      </c>
      <c r="T519" t="b">
        <v>0</v>
      </c>
      <c r="U519" t="str">
        <f t="shared" si="40"/>
        <v>Normal Usage</v>
      </c>
      <c r="V519" t="str">
        <f t="shared" si="41"/>
        <v>Normal</v>
      </c>
      <c r="W519" t="str">
        <f t="shared" si="42"/>
        <v>Stable</v>
      </c>
      <c r="X519" t="str">
        <f t="shared" si="43"/>
        <v>Low</v>
      </c>
      <c r="Y519">
        <f t="shared" si="44"/>
        <v>105</v>
      </c>
    </row>
    <row r="520" spans="1:25">
      <c r="A520" t="s">
        <v>28</v>
      </c>
      <c r="B520">
        <v>74</v>
      </c>
      <c r="C520">
        <v>415</v>
      </c>
      <c r="D520" t="s">
        <v>21</v>
      </c>
      <c r="E520" t="s">
        <v>21</v>
      </c>
      <c r="F520">
        <v>0</v>
      </c>
      <c r="G520">
        <v>124.8</v>
      </c>
      <c r="H520">
        <v>114</v>
      </c>
      <c r="I520">
        <v>21.22</v>
      </c>
      <c r="J520">
        <v>133</v>
      </c>
      <c r="K520">
        <v>121</v>
      </c>
      <c r="L520">
        <v>11.31</v>
      </c>
      <c r="M520">
        <v>160.30000000000001</v>
      </c>
      <c r="N520">
        <v>85</v>
      </c>
      <c r="O520">
        <v>7.21</v>
      </c>
      <c r="P520">
        <v>10.6</v>
      </c>
      <c r="Q520">
        <v>7</v>
      </c>
      <c r="R520">
        <v>2.86</v>
      </c>
      <c r="S520">
        <v>3</v>
      </c>
      <c r="T520" t="b">
        <v>0</v>
      </c>
      <c r="U520" t="str">
        <f t="shared" si="40"/>
        <v>Normal Usage</v>
      </c>
      <c r="V520" t="str">
        <f t="shared" si="41"/>
        <v>Normal</v>
      </c>
      <c r="W520" t="str">
        <f t="shared" si="42"/>
        <v>Stable</v>
      </c>
      <c r="X520" t="str">
        <f t="shared" si="43"/>
        <v>Medium</v>
      </c>
      <c r="Y520">
        <f t="shared" si="44"/>
        <v>74</v>
      </c>
    </row>
    <row r="521" spans="1:25">
      <c r="A521" t="s">
        <v>44</v>
      </c>
      <c r="B521">
        <v>76</v>
      </c>
      <c r="C521">
        <v>415</v>
      </c>
      <c r="D521" t="s">
        <v>21</v>
      </c>
      <c r="E521" t="s">
        <v>21</v>
      </c>
      <c r="F521">
        <v>0</v>
      </c>
      <c r="G521">
        <v>179.2</v>
      </c>
      <c r="H521">
        <v>85</v>
      </c>
      <c r="I521">
        <v>30.46</v>
      </c>
      <c r="J521">
        <v>222.9</v>
      </c>
      <c r="K521">
        <v>66</v>
      </c>
      <c r="L521">
        <v>18.95</v>
      </c>
      <c r="M521">
        <v>188.2</v>
      </c>
      <c r="N521">
        <v>113</v>
      </c>
      <c r="O521">
        <v>8.4700000000000006</v>
      </c>
      <c r="P521">
        <v>12.4</v>
      </c>
      <c r="Q521">
        <v>2</v>
      </c>
      <c r="R521">
        <v>3.35</v>
      </c>
      <c r="S521">
        <v>0</v>
      </c>
      <c r="T521" t="b">
        <v>0</v>
      </c>
      <c r="U521" t="str">
        <f t="shared" si="40"/>
        <v>Normal Usage</v>
      </c>
      <c r="V521" t="str">
        <f t="shared" si="41"/>
        <v>Normal</v>
      </c>
      <c r="W521" t="str">
        <f t="shared" si="42"/>
        <v>Stable</v>
      </c>
      <c r="X521" t="str">
        <f t="shared" si="43"/>
        <v>Low</v>
      </c>
      <c r="Y521">
        <f t="shared" si="44"/>
        <v>76</v>
      </c>
    </row>
    <row r="522" spans="1:25">
      <c r="A522" t="s">
        <v>56</v>
      </c>
      <c r="B522">
        <v>116</v>
      </c>
      <c r="C522">
        <v>415</v>
      </c>
      <c r="D522" t="s">
        <v>21</v>
      </c>
      <c r="E522" t="s">
        <v>21</v>
      </c>
      <c r="F522">
        <v>0</v>
      </c>
      <c r="G522">
        <v>245.9</v>
      </c>
      <c r="H522">
        <v>73</v>
      </c>
      <c r="I522">
        <v>41.8</v>
      </c>
      <c r="J522">
        <v>240.1</v>
      </c>
      <c r="K522">
        <v>87</v>
      </c>
      <c r="L522">
        <v>20.41</v>
      </c>
      <c r="M522">
        <v>158.69999999999999</v>
      </c>
      <c r="N522">
        <v>89</v>
      </c>
      <c r="O522">
        <v>7.14</v>
      </c>
      <c r="P522">
        <v>8.9</v>
      </c>
      <c r="Q522">
        <v>5</v>
      </c>
      <c r="R522">
        <v>2.4</v>
      </c>
      <c r="S522">
        <v>3</v>
      </c>
      <c r="T522" t="b">
        <v>0</v>
      </c>
      <c r="U522" t="str">
        <f t="shared" si="40"/>
        <v>High Usage</v>
      </c>
      <c r="V522" t="str">
        <f t="shared" si="41"/>
        <v>Normal</v>
      </c>
      <c r="W522" t="str">
        <f t="shared" si="42"/>
        <v>Stable</v>
      </c>
      <c r="X522" t="str">
        <f t="shared" si="43"/>
        <v>Medium</v>
      </c>
      <c r="Y522">
        <f t="shared" si="44"/>
        <v>116</v>
      </c>
    </row>
    <row r="523" spans="1:25">
      <c r="A523" t="s">
        <v>59</v>
      </c>
      <c r="B523">
        <v>138</v>
      </c>
      <c r="C523">
        <v>510</v>
      </c>
      <c r="D523" t="s">
        <v>21</v>
      </c>
      <c r="E523" t="s">
        <v>21</v>
      </c>
      <c r="F523">
        <v>0</v>
      </c>
      <c r="G523">
        <v>205.9</v>
      </c>
      <c r="H523">
        <v>96</v>
      </c>
      <c r="I523">
        <v>35</v>
      </c>
      <c r="J523">
        <v>257.10000000000002</v>
      </c>
      <c r="K523">
        <v>94</v>
      </c>
      <c r="L523">
        <v>21.85</v>
      </c>
      <c r="M523">
        <v>209</v>
      </c>
      <c r="N523">
        <v>63</v>
      </c>
      <c r="O523">
        <v>9.4</v>
      </c>
      <c r="P523">
        <v>12.1</v>
      </c>
      <c r="Q523">
        <v>8</v>
      </c>
      <c r="R523">
        <v>3.27</v>
      </c>
      <c r="S523">
        <v>0</v>
      </c>
      <c r="T523" t="b">
        <v>0</v>
      </c>
      <c r="U523" t="str">
        <f t="shared" si="40"/>
        <v>High Usage</v>
      </c>
      <c r="V523" t="str">
        <f t="shared" si="41"/>
        <v>Normal</v>
      </c>
      <c r="W523" t="str">
        <f t="shared" si="42"/>
        <v>Stable</v>
      </c>
      <c r="X523" t="str">
        <f t="shared" si="43"/>
        <v>Low</v>
      </c>
      <c r="Y523">
        <f t="shared" si="44"/>
        <v>138</v>
      </c>
    </row>
    <row r="524" spans="1:25">
      <c r="A524" t="s">
        <v>61</v>
      </c>
      <c r="B524">
        <v>102</v>
      </c>
      <c r="C524">
        <v>415</v>
      </c>
      <c r="D524" t="s">
        <v>21</v>
      </c>
      <c r="E524" t="s">
        <v>21</v>
      </c>
      <c r="F524">
        <v>0</v>
      </c>
      <c r="G524">
        <v>186.8</v>
      </c>
      <c r="H524">
        <v>92</v>
      </c>
      <c r="I524">
        <v>31.76</v>
      </c>
      <c r="J524">
        <v>173.7</v>
      </c>
      <c r="K524">
        <v>123</v>
      </c>
      <c r="L524">
        <v>14.76</v>
      </c>
      <c r="M524">
        <v>250.9</v>
      </c>
      <c r="N524">
        <v>131</v>
      </c>
      <c r="O524">
        <v>11.29</v>
      </c>
      <c r="P524">
        <v>9.6999999999999993</v>
      </c>
      <c r="Q524">
        <v>4</v>
      </c>
      <c r="R524">
        <v>2.62</v>
      </c>
      <c r="S524">
        <v>2</v>
      </c>
      <c r="T524" t="b">
        <v>0</v>
      </c>
      <c r="U524" t="str">
        <f t="shared" si="40"/>
        <v>Normal Usage</v>
      </c>
      <c r="V524" t="str">
        <f t="shared" si="41"/>
        <v>Normal</v>
      </c>
      <c r="W524" t="str">
        <f t="shared" si="42"/>
        <v>Stable</v>
      </c>
      <c r="X524" t="str">
        <f t="shared" si="43"/>
        <v>Low</v>
      </c>
      <c r="Y524">
        <f t="shared" si="44"/>
        <v>102</v>
      </c>
    </row>
    <row r="525" spans="1:25">
      <c r="A525" t="s">
        <v>59</v>
      </c>
      <c r="B525">
        <v>164</v>
      </c>
      <c r="C525">
        <v>510</v>
      </c>
      <c r="D525" t="s">
        <v>21</v>
      </c>
      <c r="E525" t="s">
        <v>21</v>
      </c>
      <c r="F525">
        <v>0</v>
      </c>
      <c r="G525">
        <v>192.1</v>
      </c>
      <c r="H525">
        <v>95</v>
      </c>
      <c r="I525">
        <v>32.659999999999997</v>
      </c>
      <c r="J525">
        <v>249.8</v>
      </c>
      <c r="K525">
        <v>94</v>
      </c>
      <c r="L525">
        <v>21.23</v>
      </c>
      <c r="M525">
        <v>132.6</v>
      </c>
      <c r="N525">
        <v>100</v>
      </c>
      <c r="O525">
        <v>5.97</v>
      </c>
      <c r="P525">
        <v>7.3</v>
      </c>
      <c r="Q525">
        <v>3</v>
      </c>
      <c r="R525">
        <v>1.97</v>
      </c>
      <c r="S525">
        <v>3</v>
      </c>
      <c r="T525" t="b">
        <v>0</v>
      </c>
      <c r="U525" t="str">
        <f t="shared" si="40"/>
        <v>Normal Usage</v>
      </c>
      <c r="V525" t="str">
        <f t="shared" si="41"/>
        <v>Normal</v>
      </c>
      <c r="W525" t="str">
        <f t="shared" si="42"/>
        <v>Stable</v>
      </c>
      <c r="X525" t="str">
        <f t="shared" si="43"/>
        <v>Medium</v>
      </c>
      <c r="Y525">
        <f t="shared" si="44"/>
        <v>164</v>
      </c>
    </row>
    <row r="526" spans="1:25">
      <c r="A526" t="s">
        <v>32</v>
      </c>
      <c r="B526">
        <v>125</v>
      </c>
      <c r="C526">
        <v>415</v>
      </c>
      <c r="D526" t="s">
        <v>21</v>
      </c>
      <c r="E526" t="s">
        <v>21</v>
      </c>
      <c r="F526">
        <v>0</v>
      </c>
      <c r="G526">
        <v>240.7</v>
      </c>
      <c r="H526">
        <v>82</v>
      </c>
      <c r="I526">
        <v>40.92</v>
      </c>
      <c r="J526">
        <v>269.39999999999998</v>
      </c>
      <c r="K526">
        <v>85</v>
      </c>
      <c r="L526">
        <v>22.9</v>
      </c>
      <c r="M526">
        <v>187.1</v>
      </c>
      <c r="N526">
        <v>74</v>
      </c>
      <c r="O526">
        <v>8.42</v>
      </c>
      <c r="P526">
        <v>10.1</v>
      </c>
      <c r="Q526">
        <v>3</v>
      </c>
      <c r="R526">
        <v>2.73</v>
      </c>
      <c r="S526">
        <v>0</v>
      </c>
      <c r="T526" t="b">
        <v>1</v>
      </c>
      <c r="U526" t="str">
        <f t="shared" si="40"/>
        <v>High Usage</v>
      </c>
      <c r="V526" t="str">
        <f t="shared" si="41"/>
        <v>Normal</v>
      </c>
      <c r="W526" t="str">
        <f t="shared" si="42"/>
        <v>Stable</v>
      </c>
      <c r="X526" t="str">
        <f t="shared" si="43"/>
        <v>Low</v>
      </c>
      <c r="Y526">
        <f t="shared" si="44"/>
        <v>125</v>
      </c>
    </row>
    <row r="527" spans="1:25">
      <c r="A527" t="s">
        <v>24</v>
      </c>
      <c r="B527">
        <v>209</v>
      </c>
      <c r="C527">
        <v>510</v>
      </c>
      <c r="D527" t="s">
        <v>21</v>
      </c>
      <c r="E527" t="s">
        <v>21</v>
      </c>
      <c r="F527">
        <v>0</v>
      </c>
      <c r="G527">
        <v>255.1</v>
      </c>
      <c r="H527">
        <v>124</v>
      </c>
      <c r="I527">
        <v>43.37</v>
      </c>
      <c r="J527">
        <v>230.6</v>
      </c>
      <c r="K527">
        <v>110</v>
      </c>
      <c r="L527">
        <v>19.600000000000001</v>
      </c>
      <c r="M527">
        <v>218</v>
      </c>
      <c r="N527">
        <v>69</v>
      </c>
      <c r="O527">
        <v>9.81</v>
      </c>
      <c r="P527">
        <v>8.5</v>
      </c>
      <c r="Q527">
        <v>5</v>
      </c>
      <c r="R527">
        <v>2.2999999999999998</v>
      </c>
      <c r="S527">
        <v>3</v>
      </c>
      <c r="T527" t="b">
        <v>1</v>
      </c>
      <c r="U527" t="str">
        <f t="shared" si="40"/>
        <v>High Usage</v>
      </c>
      <c r="V527" t="str">
        <f t="shared" si="41"/>
        <v>Normal</v>
      </c>
      <c r="W527" t="str">
        <f t="shared" si="42"/>
        <v>Potential Churn</v>
      </c>
      <c r="X527" t="str">
        <f t="shared" si="43"/>
        <v>Medium</v>
      </c>
      <c r="Y527">
        <f t="shared" si="44"/>
        <v>209</v>
      </c>
    </row>
    <row r="528" spans="1:25">
      <c r="A528" t="s">
        <v>45</v>
      </c>
      <c r="B528">
        <v>116</v>
      </c>
      <c r="C528">
        <v>408</v>
      </c>
      <c r="D528" t="s">
        <v>21</v>
      </c>
      <c r="E528" t="s">
        <v>27</v>
      </c>
      <c r="F528">
        <v>24</v>
      </c>
      <c r="G528">
        <v>183.6</v>
      </c>
      <c r="H528">
        <v>138</v>
      </c>
      <c r="I528">
        <v>31.21</v>
      </c>
      <c r="J528">
        <v>203.8</v>
      </c>
      <c r="K528">
        <v>90</v>
      </c>
      <c r="L528">
        <v>17.32</v>
      </c>
      <c r="M528">
        <v>166.9</v>
      </c>
      <c r="N528">
        <v>89</v>
      </c>
      <c r="O528">
        <v>7.51</v>
      </c>
      <c r="P528">
        <v>6</v>
      </c>
      <c r="Q528">
        <v>3</v>
      </c>
      <c r="R528">
        <v>1.62</v>
      </c>
      <c r="S528">
        <v>2</v>
      </c>
      <c r="T528" t="b">
        <v>0</v>
      </c>
      <c r="U528" t="str">
        <f t="shared" si="40"/>
        <v>Normal Usage</v>
      </c>
      <c r="V528" t="str">
        <f t="shared" si="41"/>
        <v>Normal</v>
      </c>
      <c r="W528" t="str">
        <f t="shared" si="42"/>
        <v>Stable</v>
      </c>
      <c r="X528" t="str">
        <f t="shared" si="43"/>
        <v>Low</v>
      </c>
      <c r="Y528">
        <f t="shared" si="44"/>
        <v>116</v>
      </c>
    </row>
    <row r="529" spans="1:25">
      <c r="A529" t="s">
        <v>65</v>
      </c>
      <c r="B529">
        <v>189</v>
      </c>
      <c r="C529">
        <v>415</v>
      </c>
      <c r="D529" t="s">
        <v>21</v>
      </c>
      <c r="E529" t="s">
        <v>27</v>
      </c>
      <c r="F529">
        <v>30</v>
      </c>
      <c r="G529">
        <v>155.19999999999999</v>
      </c>
      <c r="H529">
        <v>116</v>
      </c>
      <c r="I529">
        <v>26.38</v>
      </c>
      <c r="J529">
        <v>195.5</v>
      </c>
      <c r="K529">
        <v>50</v>
      </c>
      <c r="L529">
        <v>16.62</v>
      </c>
      <c r="M529">
        <v>170.1</v>
      </c>
      <c r="N529">
        <v>108</v>
      </c>
      <c r="O529">
        <v>7.65</v>
      </c>
      <c r="P529">
        <v>15.4</v>
      </c>
      <c r="Q529">
        <v>6</v>
      </c>
      <c r="R529">
        <v>4.16</v>
      </c>
      <c r="S529">
        <v>1</v>
      </c>
      <c r="T529" t="b">
        <v>0</v>
      </c>
      <c r="U529" t="str">
        <f t="shared" si="40"/>
        <v>Normal Usage</v>
      </c>
      <c r="V529" t="str">
        <f t="shared" si="41"/>
        <v>Normal</v>
      </c>
      <c r="W529" t="str">
        <f t="shared" si="42"/>
        <v>Stable</v>
      </c>
      <c r="X529" t="str">
        <f t="shared" si="43"/>
        <v>Low</v>
      </c>
      <c r="Y529">
        <f t="shared" si="44"/>
        <v>189</v>
      </c>
    </row>
    <row r="530" spans="1:25">
      <c r="A530" t="s">
        <v>55</v>
      </c>
      <c r="B530">
        <v>84</v>
      </c>
      <c r="C530">
        <v>510</v>
      </c>
      <c r="D530" t="s">
        <v>21</v>
      </c>
      <c r="E530" t="s">
        <v>21</v>
      </c>
      <c r="F530">
        <v>0</v>
      </c>
      <c r="G530">
        <v>203.4</v>
      </c>
      <c r="H530">
        <v>125</v>
      </c>
      <c r="I530">
        <v>34.58</v>
      </c>
      <c r="J530">
        <v>182.9</v>
      </c>
      <c r="K530">
        <v>88</v>
      </c>
      <c r="L530">
        <v>15.55</v>
      </c>
      <c r="M530">
        <v>213.7</v>
      </c>
      <c r="N530">
        <v>121</v>
      </c>
      <c r="O530">
        <v>9.6199999999999992</v>
      </c>
      <c r="P530">
        <v>13.8</v>
      </c>
      <c r="Q530">
        <v>2</v>
      </c>
      <c r="R530">
        <v>3.73</v>
      </c>
      <c r="S530">
        <v>1</v>
      </c>
      <c r="T530" t="b">
        <v>0</v>
      </c>
      <c r="U530" t="str">
        <f t="shared" si="40"/>
        <v>High Usage</v>
      </c>
      <c r="V530" t="str">
        <f t="shared" si="41"/>
        <v>Normal</v>
      </c>
      <c r="W530" t="str">
        <f t="shared" si="42"/>
        <v>Stable</v>
      </c>
      <c r="X530" t="str">
        <f t="shared" si="43"/>
        <v>Low</v>
      </c>
      <c r="Y530">
        <f t="shared" si="44"/>
        <v>84</v>
      </c>
    </row>
    <row r="531" spans="1:25">
      <c r="A531" t="s">
        <v>64</v>
      </c>
      <c r="B531">
        <v>182</v>
      </c>
      <c r="C531">
        <v>415</v>
      </c>
      <c r="D531" t="s">
        <v>21</v>
      </c>
      <c r="E531" t="s">
        <v>21</v>
      </c>
      <c r="F531">
        <v>0</v>
      </c>
      <c r="G531">
        <v>279.10000000000002</v>
      </c>
      <c r="H531">
        <v>124</v>
      </c>
      <c r="I531">
        <v>47.45</v>
      </c>
      <c r="J531">
        <v>180.5</v>
      </c>
      <c r="K531">
        <v>108</v>
      </c>
      <c r="L531">
        <v>15.34</v>
      </c>
      <c r="M531">
        <v>217.5</v>
      </c>
      <c r="N531">
        <v>104</v>
      </c>
      <c r="O531">
        <v>9.7899999999999991</v>
      </c>
      <c r="P531">
        <v>9.5</v>
      </c>
      <c r="Q531">
        <v>11</v>
      </c>
      <c r="R531">
        <v>2.57</v>
      </c>
      <c r="S531">
        <v>2</v>
      </c>
      <c r="T531" t="b">
        <v>1</v>
      </c>
      <c r="U531" t="str">
        <f t="shared" si="40"/>
        <v>High Usage</v>
      </c>
      <c r="V531" t="str">
        <f t="shared" si="41"/>
        <v>Normal</v>
      </c>
      <c r="W531" t="str">
        <f t="shared" si="42"/>
        <v>Potential Churn</v>
      </c>
      <c r="X531" t="str">
        <f t="shared" si="43"/>
        <v>Low</v>
      </c>
      <c r="Y531">
        <f t="shared" si="44"/>
        <v>182</v>
      </c>
    </row>
    <row r="532" spans="1:25">
      <c r="A532" t="s">
        <v>25</v>
      </c>
      <c r="B532">
        <v>171</v>
      </c>
      <c r="C532">
        <v>510</v>
      </c>
      <c r="D532" t="s">
        <v>21</v>
      </c>
      <c r="E532" t="s">
        <v>21</v>
      </c>
      <c r="F532">
        <v>0</v>
      </c>
      <c r="G532">
        <v>189.8</v>
      </c>
      <c r="H532">
        <v>122</v>
      </c>
      <c r="I532">
        <v>32.270000000000003</v>
      </c>
      <c r="J532">
        <v>173.7</v>
      </c>
      <c r="K532">
        <v>85</v>
      </c>
      <c r="L532">
        <v>14.76</v>
      </c>
      <c r="M532">
        <v>257.10000000000002</v>
      </c>
      <c r="N532">
        <v>84</v>
      </c>
      <c r="O532">
        <v>11.57</v>
      </c>
      <c r="P532">
        <v>10.3</v>
      </c>
      <c r="Q532">
        <v>1</v>
      </c>
      <c r="R532">
        <v>2.78</v>
      </c>
      <c r="S532">
        <v>0</v>
      </c>
      <c r="T532" t="b">
        <v>0</v>
      </c>
      <c r="U532" t="str">
        <f t="shared" si="40"/>
        <v>Normal Usage</v>
      </c>
      <c r="V532" t="str">
        <f t="shared" si="41"/>
        <v>Normal</v>
      </c>
      <c r="W532" t="str">
        <f t="shared" si="42"/>
        <v>Stable</v>
      </c>
      <c r="X532" t="str">
        <f t="shared" si="43"/>
        <v>Low</v>
      </c>
      <c r="Y532">
        <f t="shared" si="44"/>
        <v>171</v>
      </c>
    </row>
    <row r="533" spans="1:25">
      <c r="A533" t="s">
        <v>58</v>
      </c>
      <c r="B533">
        <v>90</v>
      </c>
      <c r="C533">
        <v>415</v>
      </c>
      <c r="D533" t="s">
        <v>21</v>
      </c>
      <c r="E533" t="s">
        <v>21</v>
      </c>
      <c r="F533">
        <v>0</v>
      </c>
      <c r="G533">
        <v>198.5</v>
      </c>
      <c r="H533">
        <v>124</v>
      </c>
      <c r="I533">
        <v>33.75</v>
      </c>
      <c r="J533">
        <v>266.60000000000002</v>
      </c>
      <c r="K533">
        <v>100</v>
      </c>
      <c r="L533">
        <v>22.66</v>
      </c>
      <c r="M533">
        <v>243.3</v>
      </c>
      <c r="N533">
        <v>80</v>
      </c>
      <c r="O533">
        <v>10.95</v>
      </c>
      <c r="P533">
        <v>8</v>
      </c>
      <c r="Q533">
        <v>7</v>
      </c>
      <c r="R533">
        <v>2.16</v>
      </c>
      <c r="S533">
        <v>2</v>
      </c>
      <c r="T533" t="b">
        <v>0</v>
      </c>
      <c r="U533" t="str">
        <f t="shared" si="40"/>
        <v>Normal Usage</v>
      </c>
      <c r="V533" t="str">
        <f t="shared" si="41"/>
        <v>Normal</v>
      </c>
      <c r="W533" t="str">
        <f t="shared" si="42"/>
        <v>Stable</v>
      </c>
      <c r="X533" t="str">
        <f t="shared" si="43"/>
        <v>Low</v>
      </c>
      <c r="Y533">
        <f t="shared" si="44"/>
        <v>90</v>
      </c>
    </row>
    <row r="534" spans="1:25">
      <c r="A534" t="s">
        <v>44</v>
      </c>
      <c r="B534">
        <v>117</v>
      </c>
      <c r="C534">
        <v>510</v>
      </c>
      <c r="D534" t="s">
        <v>21</v>
      </c>
      <c r="E534" t="s">
        <v>21</v>
      </c>
      <c r="F534">
        <v>0</v>
      </c>
      <c r="G534">
        <v>158.69999999999999</v>
      </c>
      <c r="H534">
        <v>84</v>
      </c>
      <c r="I534">
        <v>26.98</v>
      </c>
      <c r="J534">
        <v>181.7</v>
      </c>
      <c r="K534">
        <v>91</v>
      </c>
      <c r="L534">
        <v>15.44</v>
      </c>
      <c r="M534">
        <v>177.3</v>
      </c>
      <c r="N534">
        <v>67</v>
      </c>
      <c r="O534">
        <v>7.98</v>
      </c>
      <c r="P534">
        <v>7.7</v>
      </c>
      <c r="Q534">
        <v>10</v>
      </c>
      <c r="R534">
        <v>2.08</v>
      </c>
      <c r="S534">
        <v>2</v>
      </c>
      <c r="T534" t="b">
        <v>0</v>
      </c>
      <c r="U534" t="str">
        <f t="shared" si="40"/>
        <v>Normal Usage</v>
      </c>
      <c r="V534" t="str">
        <f t="shared" si="41"/>
        <v>Normal</v>
      </c>
      <c r="W534" t="str">
        <f t="shared" si="42"/>
        <v>Stable</v>
      </c>
      <c r="X534" t="str">
        <f t="shared" si="43"/>
        <v>Low</v>
      </c>
      <c r="Y534">
        <f t="shared" si="44"/>
        <v>117</v>
      </c>
    </row>
    <row r="535" spans="1:25">
      <c r="A535" t="s">
        <v>52</v>
      </c>
      <c r="B535">
        <v>186</v>
      </c>
      <c r="C535">
        <v>510</v>
      </c>
      <c r="D535" t="s">
        <v>21</v>
      </c>
      <c r="E535" t="s">
        <v>21</v>
      </c>
      <c r="F535">
        <v>0</v>
      </c>
      <c r="G535">
        <v>137.80000000000001</v>
      </c>
      <c r="H535">
        <v>97</v>
      </c>
      <c r="I535">
        <v>23.43</v>
      </c>
      <c r="J535">
        <v>187.7</v>
      </c>
      <c r="K535">
        <v>118</v>
      </c>
      <c r="L535">
        <v>15.95</v>
      </c>
      <c r="M535">
        <v>146.4</v>
      </c>
      <c r="N535">
        <v>85</v>
      </c>
      <c r="O535">
        <v>6.59</v>
      </c>
      <c r="P535">
        <v>8.6999999999999993</v>
      </c>
      <c r="Q535">
        <v>6</v>
      </c>
      <c r="R535">
        <v>2.35</v>
      </c>
      <c r="S535">
        <v>1</v>
      </c>
      <c r="T535" t="b">
        <v>0</v>
      </c>
      <c r="U535" t="str">
        <f t="shared" si="40"/>
        <v>Normal Usage</v>
      </c>
      <c r="V535" t="str">
        <f t="shared" si="41"/>
        <v>Normal</v>
      </c>
      <c r="W535" t="str">
        <f t="shared" si="42"/>
        <v>Stable</v>
      </c>
      <c r="X535" t="str">
        <f t="shared" si="43"/>
        <v>Low</v>
      </c>
      <c r="Y535">
        <f t="shared" si="44"/>
        <v>186</v>
      </c>
    </row>
    <row r="536" spans="1:25">
      <c r="A536" t="s">
        <v>26</v>
      </c>
      <c r="B536">
        <v>55</v>
      </c>
      <c r="C536">
        <v>408</v>
      </c>
      <c r="D536" t="s">
        <v>21</v>
      </c>
      <c r="E536" t="s">
        <v>27</v>
      </c>
      <c r="F536">
        <v>39</v>
      </c>
      <c r="G536">
        <v>139.30000000000001</v>
      </c>
      <c r="H536">
        <v>101</v>
      </c>
      <c r="I536">
        <v>23.68</v>
      </c>
      <c r="J536">
        <v>178.3</v>
      </c>
      <c r="K536">
        <v>117</v>
      </c>
      <c r="L536">
        <v>15.16</v>
      </c>
      <c r="M536">
        <v>246.5</v>
      </c>
      <c r="N536">
        <v>104</v>
      </c>
      <c r="O536">
        <v>11.09</v>
      </c>
      <c r="P536">
        <v>8.1</v>
      </c>
      <c r="Q536">
        <v>1</v>
      </c>
      <c r="R536">
        <v>2.19</v>
      </c>
      <c r="S536">
        <v>3</v>
      </c>
      <c r="T536" t="b">
        <v>0</v>
      </c>
      <c r="U536" t="str">
        <f t="shared" si="40"/>
        <v>Normal Usage</v>
      </c>
      <c r="V536" t="str">
        <f t="shared" si="41"/>
        <v>Normal</v>
      </c>
      <c r="W536" t="str">
        <f t="shared" si="42"/>
        <v>Stable</v>
      </c>
      <c r="X536" t="str">
        <f t="shared" si="43"/>
        <v>Medium</v>
      </c>
      <c r="Y536">
        <f t="shared" si="44"/>
        <v>55</v>
      </c>
    </row>
    <row r="537" spans="1:25">
      <c r="A537" t="s">
        <v>31</v>
      </c>
      <c r="B537">
        <v>74</v>
      </c>
      <c r="C537">
        <v>408</v>
      </c>
      <c r="D537" t="s">
        <v>21</v>
      </c>
      <c r="E537" t="s">
        <v>21</v>
      </c>
      <c r="F537">
        <v>0</v>
      </c>
      <c r="G537">
        <v>177.4</v>
      </c>
      <c r="H537">
        <v>136</v>
      </c>
      <c r="I537">
        <v>30.16</v>
      </c>
      <c r="J537">
        <v>240.3</v>
      </c>
      <c r="K537">
        <v>104</v>
      </c>
      <c r="L537">
        <v>20.43</v>
      </c>
      <c r="M537">
        <v>237.3</v>
      </c>
      <c r="N537">
        <v>133</v>
      </c>
      <c r="O537">
        <v>10.68</v>
      </c>
      <c r="P537">
        <v>12</v>
      </c>
      <c r="Q537">
        <v>3</v>
      </c>
      <c r="R537">
        <v>3.24</v>
      </c>
      <c r="S537">
        <v>0</v>
      </c>
      <c r="T537" t="b">
        <v>0</v>
      </c>
      <c r="U537" t="str">
        <f t="shared" si="40"/>
        <v>Normal Usage</v>
      </c>
      <c r="V537" t="str">
        <f t="shared" si="41"/>
        <v>Normal</v>
      </c>
      <c r="W537" t="str">
        <f t="shared" si="42"/>
        <v>Stable</v>
      </c>
      <c r="X537" t="str">
        <f t="shared" si="43"/>
        <v>Low</v>
      </c>
      <c r="Y537">
        <f t="shared" si="44"/>
        <v>74</v>
      </c>
    </row>
    <row r="538" spans="1:25">
      <c r="A538" t="s">
        <v>22</v>
      </c>
      <c r="B538">
        <v>130</v>
      </c>
      <c r="C538">
        <v>408</v>
      </c>
      <c r="D538" t="s">
        <v>21</v>
      </c>
      <c r="E538" t="s">
        <v>21</v>
      </c>
      <c r="F538">
        <v>0</v>
      </c>
      <c r="G538">
        <v>115.6</v>
      </c>
      <c r="H538">
        <v>129</v>
      </c>
      <c r="I538">
        <v>19.649999999999999</v>
      </c>
      <c r="J538">
        <v>167.8</v>
      </c>
      <c r="K538">
        <v>104</v>
      </c>
      <c r="L538">
        <v>14.26</v>
      </c>
      <c r="M538">
        <v>141.80000000000001</v>
      </c>
      <c r="N538">
        <v>124</v>
      </c>
      <c r="O538">
        <v>6.38</v>
      </c>
      <c r="P538">
        <v>12.6</v>
      </c>
      <c r="Q538">
        <v>9</v>
      </c>
      <c r="R538">
        <v>3.4</v>
      </c>
      <c r="S538">
        <v>1</v>
      </c>
      <c r="T538" t="b">
        <v>0</v>
      </c>
      <c r="U538" t="str">
        <f t="shared" si="40"/>
        <v>Normal Usage</v>
      </c>
      <c r="V538" t="str">
        <f t="shared" si="41"/>
        <v>Normal</v>
      </c>
      <c r="W538" t="str">
        <f t="shared" si="42"/>
        <v>Stable</v>
      </c>
      <c r="X538" t="str">
        <f t="shared" si="43"/>
        <v>Low</v>
      </c>
      <c r="Y538">
        <f t="shared" si="44"/>
        <v>130</v>
      </c>
    </row>
    <row r="539" spans="1:25">
      <c r="A539" t="s">
        <v>61</v>
      </c>
      <c r="B539">
        <v>80</v>
      </c>
      <c r="C539">
        <v>408</v>
      </c>
      <c r="D539" t="s">
        <v>21</v>
      </c>
      <c r="E539" t="s">
        <v>21</v>
      </c>
      <c r="F539">
        <v>0</v>
      </c>
      <c r="G539">
        <v>51.5</v>
      </c>
      <c r="H539">
        <v>90</v>
      </c>
      <c r="I539">
        <v>8.76</v>
      </c>
      <c r="J539">
        <v>164</v>
      </c>
      <c r="K539">
        <v>98</v>
      </c>
      <c r="L539">
        <v>13.94</v>
      </c>
      <c r="M539">
        <v>169.4</v>
      </c>
      <c r="N539">
        <v>80</v>
      </c>
      <c r="O539">
        <v>7.62</v>
      </c>
      <c r="P539">
        <v>9.5</v>
      </c>
      <c r="Q539">
        <v>4</v>
      </c>
      <c r="R539">
        <v>2.57</v>
      </c>
      <c r="S539">
        <v>3</v>
      </c>
      <c r="T539" t="b">
        <v>0</v>
      </c>
      <c r="U539" t="str">
        <f t="shared" si="40"/>
        <v>Normal Usage</v>
      </c>
      <c r="V539" t="str">
        <f t="shared" si="41"/>
        <v>Normal</v>
      </c>
      <c r="W539" t="str">
        <f t="shared" si="42"/>
        <v>Stable</v>
      </c>
      <c r="X539" t="str">
        <f t="shared" si="43"/>
        <v>Medium</v>
      </c>
      <c r="Y539">
        <f t="shared" si="44"/>
        <v>80</v>
      </c>
    </row>
    <row r="540" spans="1:25">
      <c r="A540" t="s">
        <v>49</v>
      </c>
      <c r="B540">
        <v>120</v>
      </c>
      <c r="C540">
        <v>415</v>
      </c>
      <c r="D540" t="s">
        <v>21</v>
      </c>
      <c r="E540" t="s">
        <v>21</v>
      </c>
      <c r="F540">
        <v>0</v>
      </c>
      <c r="G540">
        <v>131.69999999999999</v>
      </c>
      <c r="H540">
        <v>99</v>
      </c>
      <c r="I540">
        <v>22.39</v>
      </c>
      <c r="J540">
        <v>163.1</v>
      </c>
      <c r="K540">
        <v>109</v>
      </c>
      <c r="L540">
        <v>13.86</v>
      </c>
      <c r="M540">
        <v>201.1</v>
      </c>
      <c r="N540">
        <v>116</v>
      </c>
      <c r="O540">
        <v>9.0500000000000007</v>
      </c>
      <c r="P540">
        <v>10.7</v>
      </c>
      <c r="Q540">
        <v>3</v>
      </c>
      <c r="R540">
        <v>2.89</v>
      </c>
      <c r="S540">
        <v>1</v>
      </c>
      <c r="T540" t="b">
        <v>0</v>
      </c>
      <c r="U540" t="str">
        <f t="shared" si="40"/>
        <v>Normal Usage</v>
      </c>
      <c r="V540" t="str">
        <f t="shared" si="41"/>
        <v>Normal</v>
      </c>
      <c r="W540" t="str">
        <f t="shared" si="42"/>
        <v>Stable</v>
      </c>
      <c r="X540" t="str">
        <f t="shared" si="43"/>
        <v>Low</v>
      </c>
      <c r="Y540">
        <f t="shared" si="44"/>
        <v>120</v>
      </c>
    </row>
    <row r="541" spans="1:25">
      <c r="A541" t="s">
        <v>45</v>
      </c>
      <c r="B541">
        <v>84</v>
      </c>
      <c r="C541">
        <v>408</v>
      </c>
      <c r="D541" t="s">
        <v>21</v>
      </c>
      <c r="E541" t="s">
        <v>27</v>
      </c>
      <c r="F541">
        <v>30</v>
      </c>
      <c r="G541">
        <v>106.5</v>
      </c>
      <c r="H541">
        <v>65</v>
      </c>
      <c r="I541">
        <v>18.11</v>
      </c>
      <c r="J541">
        <v>225.7</v>
      </c>
      <c r="K541">
        <v>108</v>
      </c>
      <c r="L541">
        <v>19.18</v>
      </c>
      <c r="M541">
        <v>188.6</v>
      </c>
      <c r="N541">
        <v>61</v>
      </c>
      <c r="O541">
        <v>8.49</v>
      </c>
      <c r="P541">
        <v>5.7</v>
      </c>
      <c r="Q541">
        <v>3</v>
      </c>
      <c r="R541">
        <v>1.54</v>
      </c>
      <c r="S541">
        <v>2</v>
      </c>
      <c r="T541" t="b">
        <v>0</v>
      </c>
      <c r="U541" t="str">
        <f t="shared" si="40"/>
        <v>Normal Usage</v>
      </c>
      <c r="V541" t="str">
        <f t="shared" si="41"/>
        <v>Normal</v>
      </c>
      <c r="W541" t="str">
        <f t="shared" si="42"/>
        <v>Stable</v>
      </c>
      <c r="X541" t="str">
        <f t="shared" si="43"/>
        <v>Low</v>
      </c>
      <c r="Y541">
        <f t="shared" si="44"/>
        <v>84</v>
      </c>
    </row>
    <row r="542" spans="1:25">
      <c r="A542" t="s">
        <v>64</v>
      </c>
      <c r="B542">
        <v>134</v>
      </c>
      <c r="C542">
        <v>510</v>
      </c>
      <c r="D542" t="s">
        <v>21</v>
      </c>
      <c r="E542" t="s">
        <v>27</v>
      </c>
      <c r="F542">
        <v>34</v>
      </c>
      <c r="G542">
        <v>247.2</v>
      </c>
      <c r="H542">
        <v>105</v>
      </c>
      <c r="I542">
        <v>42.02</v>
      </c>
      <c r="J542">
        <v>225.5</v>
      </c>
      <c r="K542">
        <v>133</v>
      </c>
      <c r="L542">
        <v>19.170000000000002</v>
      </c>
      <c r="M542">
        <v>186.3</v>
      </c>
      <c r="N542">
        <v>76</v>
      </c>
      <c r="O542">
        <v>8.3800000000000008</v>
      </c>
      <c r="P542">
        <v>6.1</v>
      </c>
      <c r="Q542">
        <v>5</v>
      </c>
      <c r="R542">
        <v>1.65</v>
      </c>
      <c r="S542">
        <v>2</v>
      </c>
      <c r="T542" t="b">
        <v>1</v>
      </c>
      <c r="U542" t="str">
        <f t="shared" si="40"/>
        <v>High Usage</v>
      </c>
      <c r="V542" t="str">
        <f t="shared" si="41"/>
        <v>Normal</v>
      </c>
      <c r="W542" t="str">
        <f t="shared" si="42"/>
        <v>Stable</v>
      </c>
      <c r="X542" t="str">
        <f t="shared" si="43"/>
        <v>Low</v>
      </c>
      <c r="Y542">
        <f t="shared" si="44"/>
        <v>134</v>
      </c>
    </row>
    <row r="543" spans="1:25">
      <c r="A543" t="s">
        <v>33</v>
      </c>
      <c r="B543">
        <v>68</v>
      </c>
      <c r="C543">
        <v>415</v>
      </c>
      <c r="D543" t="s">
        <v>21</v>
      </c>
      <c r="E543" t="s">
        <v>21</v>
      </c>
      <c r="F543">
        <v>0</v>
      </c>
      <c r="G543">
        <v>158.80000000000001</v>
      </c>
      <c r="H543">
        <v>119</v>
      </c>
      <c r="I543">
        <v>27</v>
      </c>
      <c r="J543">
        <v>211.8</v>
      </c>
      <c r="K543">
        <v>105</v>
      </c>
      <c r="L543">
        <v>18</v>
      </c>
      <c r="M543">
        <v>198.1</v>
      </c>
      <c r="N543">
        <v>101</v>
      </c>
      <c r="O543">
        <v>8.91</v>
      </c>
      <c r="P543">
        <v>10.3</v>
      </c>
      <c r="Q543">
        <v>3</v>
      </c>
      <c r="R543">
        <v>2.78</v>
      </c>
      <c r="S543">
        <v>1</v>
      </c>
      <c r="T543" t="b">
        <v>0</v>
      </c>
      <c r="U543" t="str">
        <f t="shared" si="40"/>
        <v>Normal Usage</v>
      </c>
      <c r="V543" t="str">
        <f t="shared" si="41"/>
        <v>Normal</v>
      </c>
      <c r="W543" t="str">
        <f t="shared" si="42"/>
        <v>Stable</v>
      </c>
      <c r="X543" t="str">
        <f t="shared" si="43"/>
        <v>Low</v>
      </c>
      <c r="Y543">
        <f t="shared" si="44"/>
        <v>68</v>
      </c>
    </row>
    <row r="544" spans="1:25">
      <c r="A544" t="s">
        <v>65</v>
      </c>
      <c r="B544">
        <v>119</v>
      </c>
      <c r="C544">
        <v>408</v>
      </c>
      <c r="D544" t="s">
        <v>21</v>
      </c>
      <c r="E544" t="s">
        <v>21</v>
      </c>
      <c r="F544">
        <v>0</v>
      </c>
      <c r="G544">
        <v>239.1</v>
      </c>
      <c r="H544">
        <v>88</v>
      </c>
      <c r="I544">
        <v>40.65</v>
      </c>
      <c r="J544">
        <v>243.5</v>
      </c>
      <c r="K544">
        <v>79</v>
      </c>
      <c r="L544">
        <v>20.7</v>
      </c>
      <c r="M544">
        <v>230.9</v>
      </c>
      <c r="N544">
        <v>92</v>
      </c>
      <c r="O544">
        <v>10.39</v>
      </c>
      <c r="P544">
        <v>10.9</v>
      </c>
      <c r="Q544">
        <v>3</v>
      </c>
      <c r="R544">
        <v>2.94</v>
      </c>
      <c r="S544">
        <v>3</v>
      </c>
      <c r="T544" t="b">
        <v>1</v>
      </c>
      <c r="U544" t="str">
        <f t="shared" si="40"/>
        <v>High Usage</v>
      </c>
      <c r="V544" t="str">
        <f t="shared" si="41"/>
        <v>Normal</v>
      </c>
      <c r="W544" t="str">
        <f t="shared" si="42"/>
        <v>Stable</v>
      </c>
      <c r="X544" t="str">
        <f t="shared" si="43"/>
        <v>Medium</v>
      </c>
      <c r="Y544">
        <f t="shared" si="44"/>
        <v>119</v>
      </c>
    </row>
    <row r="545" spans="1:25">
      <c r="A545" t="s">
        <v>52</v>
      </c>
      <c r="B545">
        <v>166</v>
      </c>
      <c r="C545">
        <v>415</v>
      </c>
      <c r="D545" t="s">
        <v>27</v>
      </c>
      <c r="E545" t="s">
        <v>27</v>
      </c>
      <c r="F545">
        <v>28</v>
      </c>
      <c r="G545">
        <v>175.8</v>
      </c>
      <c r="H545">
        <v>126</v>
      </c>
      <c r="I545">
        <v>29.89</v>
      </c>
      <c r="J545">
        <v>253.6</v>
      </c>
      <c r="K545">
        <v>76</v>
      </c>
      <c r="L545">
        <v>21.56</v>
      </c>
      <c r="M545">
        <v>128.5</v>
      </c>
      <c r="N545">
        <v>72</v>
      </c>
      <c r="O545">
        <v>5.78</v>
      </c>
      <c r="P545">
        <v>11.4</v>
      </c>
      <c r="Q545">
        <v>5</v>
      </c>
      <c r="R545">
        <v>3.08</v>
      </c>
      <c r="S545">
        <v>1</v>
      </c>
      <c r="T545" t="b">
        <v>0</v>
      </c>
      <c r="U545" t="str">
        <f t="shared" si="40"/>
        <v>Normal Usage</v>
      </c>
      <c r="V545" t="str">
        <f t="shared" si="41"/>
        <v>Normal</v>
      </c>
      <c r="W545" t="str">
        <f t="shared" si="42"/>
        <v>Stable</v>
      </c>
      <c r="X545" t="str">
        <f t="shared" si="43"/>
        <v>Low</v>
      </c>
      <c r="Y545">
        <f t="shared" si="44"/>
        <v>166</v>
      </c>
    </row>
    <row r="546" spans="1:25">
      <c r="A546" t="s">
        <v>45</v>
      </c>
      <c r="B546">
        <v>90</v>
      </c>
      <c r="C546">
        <v>415</v>
      </c>
      <c r="D546" t="s">
        <v>21</v>
      </c>
      <c r="E546" t="s">
        <v>27</v>
      </c>
      <c r="F546">
        <v>42</v>
      </c>
      <c r="G546">
        <v>193.3</v>
      </c>
      <c r="H546">
        <v>66</v>
      </c>
      <c r="I546">
        <v>32.86</v>
      </c>
      <c r="J546">
        <v>263.3</v>
      </c>
      <c r="K546">
        <v>85</v>
      </c>
      <c r="L546">
        <v>22.38</v>
      </c>
      <c r="M546">
        <v>214.4</v>
      </c>
      <c r="N546">
        <v>97</v>
      </c>
      <c r="O546">
        <v>9.65</v>
      </c>
      <c r="P546">
        <v>11.1</v>
      </c>
      <c r="Q546">
        <v>4</v>
      </c>
      <c r="R546">
        <v>3</v>
      </c>
      <c r="S546">
        <v>0</v>
      </c>
      <c r="T546" t="b">
        <v>0</v>
      </c>
      <c r="U546" t="str">
        <f t="shared" si="40"/>
        <v>Normal Usage</v>
      </c>
      <c r="V546" t="str">
        <f t="shared" si="41"/>
        <v>Normal</v>
      </c>
      <c r="W546" t="str">
        <f t="shared" si="42"/>
        <v>Stable</v>
      </c>
      <c r="X546" t="str">
        <f t="shared" si="43"/>
        <v>Low</v>
      </c>
      <c r="Y546">
        <f t="shared" si="44"/>
        <v>90</v>
      </c>
    </row>
    <row r="547" spans="1:25">
      <c r="A547" t="s">
        <v>38</v>
      </c>
      <c r="B547">
        <v>82</v>
      </c>
      <c r="C547">
        <v>415</v>
      </c>
      <c r="D547" t="s">
        <v>21</v>
      </c>
      <c r="E547" t="s">
        <v>27</v>
      </c>
      <c r="F547">
        <v>33</v>
      </c>
      <c r="G547">
        <v>137.80000000000001</v>
      </c>
      <c r="H547">
        <v>95</v>
      </c>
      <c r="I547">
        <v>23.43</v>
      </c>
      <c r="J547">
        <v>235.5</v>
      </c>
      <c r="K547">
        <v>128</v>
      </c>
      <c r="L547">
        <v>20.02</v>
      </c>
      <c r="M547">
        <v>268.10000000000002</v>
      </c>
      <c r="N547">
        <v>70</v>
      </c>
      <c r="O547">
        <v>12.06</v>
      </c>
      <c r="P547">
        <v>11</v>
      </c>
      <c r="Q547">
        <v>6</v>
      </c>
      <c r="R547">
        <v>2.97</v>
      </c>
      <c r="S547">
        <v>2</v>
      </c>
      <c r="T547" t="b">
        <v>0</v>
      </c>
      <c r="U547" t="str">
        <f t="shared" si="40"/>
        <v>Normal Usage</v>
      </c>
      <c r="V547" t="str">
        <f t="shared" si="41"/>
        <v>Normal</v>
      </c>
      <c r="W547" t="str">
        <f t="shared" si="42"/>
        <v>Stable</v>
      </c>
      <c r="X547" t="str">
        <f t="shared" si="43"/>
        <v>Low</v>
      </c>
      <c r="Y547">
        <f t="shared" si="44"/>
        <v>82</v>
      </c>
    </row>
    <row r="548" spans="1:25">
      <c r="A548" t="s">
        <v>29</v>
      </c>
      <c r="B548">
        <v>130</v>
      </c>
      <c r="C548">
        <v>415</v>
      </c>
      <c r="D548" t="s">
        <v>21</v>
      </c>
      <c r="E548" t="s">
        <v>21</v>
      </c>
      <c r="F548">
        <v>0</v>
      </c>
      <c r="G548">
        <v>263.7</v>
      </c>
      <c r="H548">
        <v>113</v>
      </c>
      <c r="I548">
        <v>44.83</v>
      </c>
      <c r="J548">
        <v>186.5</v>
      </c>
      <c r="K548">
        <v>103</v>
      </c>
      <c r="L548">
        <v>15.85</v>
      </c>
      <c r="M548">
        <v>195.3</v>
      </c>
      <c r="N548">
        <v>99</v>
      </c>
      <c r="O548">
        <v>8.7899999999999991</v>
      </c>
      <c r="P548">
        <v>18.3</v>
      </c>
      <c r="Q548">
        <v>6</v>
      </c>
      <c r="R548">
        <v>4.9400000000000004</v>
      </c>
      <c r="S548">
        <v>1</v>
      </c>
      <c r="T548" t="b">
        <v>1</v>
      </c>
      <c r="U548" t="str">
        <f t="shared" si="40"/>
        <v>High Usage</v>
      </c>
      <c r="V548" t="str">
        <f t="shared" si="41"/>
        <v>Normal</v>
      </c>
      <c r="W548" t="str">
        <f t="shared" si="42"/>
        <v>Potential Churn</v>
      </c>
      <c r="X548" t="str">
        <f t="shared" si="43"/>
        <v>Low</v>
      </c>
      <c r="Y548">
        <f t="shared" si="44"/>
        <v>130</v>
      </c>
    </row>
    <row r="549" spans="1:25">
      <c r="A549" t="s">
        <v>48</v>
      </c>
      <c r="B549">
        <v>130</v>
      </c>
      <c r="C549">
        <v>408</v>
      </c>
      <c r="D549" t="s">
        <v>21</v>
      </c>
      <c r="E549" t="s">
        <v>21</v>
      </c>
      <c r="F549">
        <v>0</v>
      </c>
      <c r="G549">
        <v>252</v>
      </c>
      <c r="H549">
        <v>101</v>
      </c>
      <c r="I549">
        <v>42.84</v>
      </c>
      <c r="J549">
        <v>170.2</v>
      </c>
      <c r="K549">
        <v>105</v>
      </c>
      <c r="L549">
        <v>14.47</v>
      </c>
      <c r="M549">
        <v>209.2</v>
      </c>
      <c r="N549">
        <v>64</v>
      </c>
      <c r="O549">
        <v>9.41</v>
      </c>
      <c r="P549">
        <v>5.7</v>
      </c>
      <c r="Q549">
        <v>5</v>
      </c>
      <c r="R549">
        <v>1.54</v>
      </c>
      <c r="S549">
        <v>0</v>
      </c>
      <c r="T549" t="b">
        <v>0</v>
      </c>
      <c r="U549" t="str">
        <f t="shared" si="40"/>
        <v>High Usage</v>
      </c>
      <c r="V549" t="str">
        <f t="shared" si="41"/>
        <v>Normal</v>
      </c>
      <c r="W549" t="str">
        <f t="shared" si="42"/>
        <v>Potential Churn</v>
      </c>
      <c r="X549" t="str">
        <f t="shared" si="43"/>
        <v>Low</v>
      </c>
      <c r="Y549">
        <f t="shared" si="44"/>
        <v>130</v>
      </c>
    </row>
    <row r="550" spans="1:25">
      <c r="A550" t="s">
        <v>57</v>
      </c>
      <c r="B550">
        <v>155</v>
      </c>
      <c r="C550">
        <v>408</v>
      </c>
      <c r="D550" t="s">
        <v>27</v>
      </c>
      <c r="E550" t="s">
        <v>21</v>
      </c>
      <c r="F550">
        <v>0</v>
      </c>
      <c r="G550">
        <v>163.1</v>
      </c>
      <c r="H550">
        <v>94</v>
      </c>
      <c r="I550">
        <v>27.73</v>
      </c>
      <c r="J550">
        <v>291.7</v>
      </c>
      <c r="K550">
        <v>108</v>
      </c>
      <c r="L550">
        <v>24.79</v>
      </c>
      <c r="M550">
        <v>96.4</v>
      </c>
      <c r="N550">
        <v>111</v>
      </c>
      <c r="O550">
        <v>4.34</v>
      </c>
      <c r="P550">
        <v>11.2</v>
      </c>
      <c r="Q550">
        <v>3</v>
      </c>
      <c r="R550">
        <v>3.02</v>
      </c>
      <c r="S550">
        <v>0</v>
      </c>
      <c r="T550" t="b">
        <v>0</v>
      </c>
      <c r="U550" t="str">
        <f t="shared" si="40"/>
        <v>Normal Usage</v>
      </c>
      <c r="V550" t="str">
        <f t="shared" si="41"/>
        <v>Normal</v>
      </c>
      <c r="W550" t="str">
        <f t="shared" si="42"/>
        <v>Stable</v>
      </c>
      <c r="X550" t="str">
        <f t="shared" si="43"/>
        <v>Low</v>
      </c>
      <c r="Y550">
        <f t="shared" si="44"/>
        <v>155</v>
      </c>
    </row>
    <row r="551" spans="1:25">
      <c r="A551" t="s">
        <v>47</v>
      </c>
      <c r="B551">
        <v>81</v>
      </c>
      <c r="C551">
        <v>415</v>
      </c>
      <c r="D551" t="s">
        <v>21</v>
      </c>
      <c r="E551" t="s">
        <v>21</v>
      </c>
      <c r="F551">
        <v>0</v>
      </c>
      <c r="G551">
        <v>324.7</v>
      </c>
      <c r="H551">
        <v>48</v>
      </c>
      <c r="I551">
        <v>55.2</v>
      </c>
      <c r="J551">
        <v>236.4</v>
      </c>
      <c r="K551">
        <v>82</v>
      </c>
      <c r="L551">
        <v>20.09</v>
      </c>
      <c r="M551">
        <v>187.6</v>
      </c>
      <c r="N551">
        <v>78</v>
      </c>
      <c r="O551">
        <v>8.44</v>
      </c>
      <c r="P551">
        <v>13.1</v>
      </c>
      <c r="Q551">
        <v>5</v>
      </c>
      <c r="R551">
        <v>3.54</v>
      </c>
      <c r="S551">
        <v>0</v>
      </c>
      <c r="T551" t="b">
        <v>1</v>
      </c>
      <c r="U551" t="str">
        <f t="shared" si="40"/>
        <v>High Usage</v>
      </c>
      <c r="V551" t="str">
        <f t="shared" si="41"/>
        <v>Normal</v>
      </c>
      <c r="W551" t="str">
        <f t="shared" si="42"/>
        <v>Potential Churn</v>
      </c>
      <c r="X551" t="str">
        <f t="shared" si="43"/>
        <v>Low</v>
      </c>
      <c r="Y551">
        <f t="shared" si="44"/>
        <v>81</v>
      </c>
    </row>
    <row r="552" spans="1:25">
      <c r="A552" t="s">
        <v>53</v>
      </c>
      <c r="B552">
        <v>75</v>
      </c>
      <c r="C552">
        <v>408</v>
      </c>
      <c r="D552" t="s">
        <v>21</v>
      </c>
      <c r="E552" t="s">
        <v>21</v>
      </c>
      <c r="F552">
        <v>0</v>
      </c>
      <c r="G552">
        <v>203.3</v>
      </c>
      <c r="H552">
        <v>70</v>
      </c>
      <c r="I552">
        <v>34.56</v>
      </c>
      <c r="J552">
        <v>228.9</v>
      </c>
      <c r="K552">
        <v>97</v>
      </c>
      <c r="L552">
        <v>19.46</v>
      </c>
      <c r="M552">
        <v>222.2</v>
      </c>
      <c r="N552">
        <v>118</v>
      </c>
      <c r="O552">
        <v>10</v>
      </c>
      <c r="P552">
        <v>14.3</v>
      </c>
      <c r="Q552">
        <v>3</v>
      </c>
      <c r="R552">
        <v>3.86</v>
      </c>
      <c r="S552">
        <v>1</v>
      </c>
      <c r="T552" t="b">
        <v>0</v>
      </c>
      <c r="U552" t="str">
        <f t="shared" si="40"/>
        <v>High Usage</v>
      </c>
      <c r="V552" t="str">
        <f t="shared" si="41"/>
        <v>Normal</v>
      </c>
      <c r="W552" t="str">
        <f t="shared" si="42"/>
        <v>Stable</v>
      </c>
      <c r="X552" t="str">
        <f t="shared" si="43"/>
        <v>Low</v>
      </c>
      <c r="Y552">
        <f t="shared" si="44"/>
        <v>75</v>
      </c>
    </row>
    <row r="553" spans="1:25">
      <c r="A553" t="s">
        <v>46</v>
      </c>
      <c r="B553">
        <v>178</v>
      </c>
      <c r="C553">
        <v>415</v>
      </c>
      <c r="D553" t="s">
        <v>21</v>
      </c>
      <c r="E553" t="s">
        <v>27</v>
      </c>
      <c r="F553">
        <v>35</v>
      </c>
      <c r="G553">
        <v>175.4</v>
      </c>
      <c r="H553">
        <v>88</v>
      </c>
      <c r="I553">
        <v>29.82</v>
      </c>
      <c r="J553">
        <v>190</v>
      </c>
      <c r="K553">
        <v>65</v>
      </c>
      <c r="L553">
        <v>16.149999999999999</v>
      </c>
      <c r="M553">
        <v>138.69999999999999</v>
      </c>
      <c r="N553">
        <v>94</v>
      </c>
      <c r="O553">
        <v>6.24</v>
      </c>
      <c r="P553">
        <v>10.5</v>
      </c>
      <c r="Q553">
        <v>3</v>
      </c>
      <c r="R553">
        <v>2.84</v>
      </c>
      <c r="S553">
        <v>2</v>
      </c>
      <c r="T553" t="b">
        <v>0</v>
      </c>
      <c r="U553" t="str">
        <f t="shared" si="40"/>
        <v>Normal Usage</v>
      </c>
      <c r="V553" t="str">
        <f t="shared" si="41"/>
        <v>Normal</v>
      </c>
      <c r="W553" t="str">
        <f t="shared" si="42"/>
        <v>Stable</v>
      </c>
      <c r="X553" t="str">
        <f t="shared" si="43"/>
        <v>Low</v>
      </c>
      <c r="Y553">
        <f t="shared" si="44"/>
        <v>178</v>
      </c>
    </row>
    <row r="554" spans="1:25">
      <c r="A554" t="s">
        <v>24</v>
      </c>
      <c r="B554">
        <v>112</v>
      </c>
      <c r="C554">
        <v>415</v>
      </c>
      <c r="D554" t="s">
        <v>21</v>
      </c>
      <c r="E554" t="s">
        <v>21</v>
      </c>
      <c r="F554">
        <v>0</v>
      </c>
      <c r="G554">
        <v>266</v>
      </c>
      <c r="H554">
        <v>97</v>
      </c>
      <c r="I554">
        <v>45.22</v>
      </c>
      <c r="J554">
        <v>214.6</v>
      </c>
      <c r="K554">
        <v>94</v>
      </c>
      <c r="L554">
        <v>18.239999999999998</v>
      </c>
      <c r="M554">
        <v>306.2</v>
      </c>
      <c r="N554">
        <v>100</v>
      </c>
      <c r="O554">
        <v>13.78</v>
      </c>
      <c r="P554">
        <v>14.2</v>
      </c>
      <c r="Q554">
        <v>2</v>
      </c>
      <c r="R554">
        <v>3.83</v>
      </c>
      <c r="S554">
        <v>2</v>
      </c>
      <c r="T554" t="b">
        <v>1</v>
      </c>
      <c r="U554" t="str">
        <f t="shared" si="40"/>
        <v>High Usage</v>
      </c>
      <c r="V554" t="str">
        <f t="shared" si="41"/>
        <v>Normal</v>
      </c>
      <c r="W554" t="str">
        <f t="shared" si="42"/>
        <v>Potential Churn</v>
      </c>
      <c r="X554" t="str">
        <f t="shared" si="43"/>
        <v>Low</v>
      </c>
      <c r="Y554">
        <f t="shared" si="44"/>
        <v>112</v>
      </c>
    </row>
    <row r="555" spans="1:25">
      <c r="A555" t="s">
        <v>38</v>
      </c>
      <c r="B555">
        <v>100</v>
      </c>
      <c r="C555">
        <v>510</v>
      </c>
      <c r="D555" t="s">
        <v>21</v>
      </c>
      <c r="E555" t="s">
        <v>21</v>
      </c>
      <c r="F555">
        <v>0</v>
      </c>
      <c r="G555">
        <v>78.7</v>
      </c>
      <c r="H555">
        <v>98</v>
      </c>
      <c r="I555">
        <v>13.38</v>
      </c>
      <c r="J555">
        <v>225.6</v>
      </c>
      <c r="K555">
        <v>102</v>
      </c>
      <c r="L555">
        <v>19.18</v>
      </c>
      <c r="M555">
        <v>150.4</v>
      </c>
      <c r="N555">
        <v>106</v>
      </c>
      <c r="O555">
        <v>6.77</v>
      </c>
      <c r="P555">
        <v>14</v>
      </c>
      <c r="Q555">
        <v>8</v>
      </c>
      <c r="R555">
        <v>3.78</v>
      </c>
      <c r="S555">
        <v>0</v>
      </c>
      <c r="T555" t="b">
        <v>0</v>
      </c>
      <c r="U555" t="str">
        <f t="shared" si="40"/>
        <v>Normal Usage</v>
      </c>
      <c r="V555" t="str">
        <f t="shared" si="41"/>
        <v>Normal</v>
      </c>
      <c r="W555" t="str">
        <f t="shared" si="42"/>
        <v>Stable</v>
      </c>
      <c r="X555" t="str">
        <f t="shared" si="43"/>
        <v>Low</v>
      </c>
      <c r="Y555">
        <f t="shared" si="44"/>
        <v>100</v>
      </c>
    </row>
    <row r="556" spans="1:25">
      <c r="A556" t="s">
        <v>66</v>
      </c>
      <c r="B556">
        <v>104</v>
      </c>
      <c r="C556">
        <v>415</v>
      </c>
      <c r="D556" t="s">
        <v>21</v>
      </c>
      <c r="E556" t="s">
        <v>21</v>
      </c>
      <c r="F556">
        <v>0</v>
      </c>
      <c r="G556">
        <v>225.9</v>
      </c>
      <c r="H556">
        <v>123</v>
      </c>
      <c r="I556">
        <v>38.4</v>
      </c>
      <c r="J556">
        <v>162.80000000000001</v>
      </c>
      <c r="K556">
        <v>106</v>
      </c>
      <c r="L556">
        <v>13.84</v>
      </c>
      <c r="M556">
        <v>272.10000000000002</v>
      </c>
      <c r="N556">
        <v>85</v>
      </c>
      <c r="O556">
        <v>12.24</v>
      </c>
      <c r="P556">
        <v>10.1</v>
      </c>
      <c r="Q556">
        <v>4</v>
      </c>
      <c r="R556">
        <v>2.73</v>
      </c>
      <c r="S556">
        <v>1</v>
      </c>
      <c r="T556" t="b">
        <v>0</v>
      </c>
      <c r="U556" t="str">
        <f t="shared" si="40"/>
        <v>High Usage</v>
      </c>
      <c r="V556" t="str">
        <f t="shared" si="41"/>
        <v>Normal</v>
      </c>
      <c r="W556" t="str">
        <f t="shared" si="42"/>
        <v>Stable</v>
      </c>
      <c r="X556" t="str">
        <f t="shared" si="43"/>
        <v>Low</v>
      </c>
      <c r="Y556">
        <f t="shared" si="44"/>
        <v>104</v>
      </c>
    </row>
    <row r="557" spans="1:25">
      <c r="A557" t="s">
        <v>23</v>
      </c>
      <c r="B557">
        <v>160</v>
      </c>
      <c r="C557">
        <v>408</v>
      </c>
      <c r="D557" t="s">
        <v>21</v>
      </c>
      <c r="E557" t="s">
        <v>21</v>
      </c>
      <c r="F557">
        <v>0</v>
      </c>
      <c r="G557">
        <v>216.8</v>
      </c>
      <c r="H557">
        <v>77</v>
      </c>
      <c r="I557">
        <v>36.86</v>
      </c>
      <c r="J557">
        <v>207.3</v>
      </c>
      <c r="K557">
        <v>117</v>
      </c>
      <c r="L557">
        <v>17.62</v>
      </c>
      <c r="M557">
        <v>228.6</v>
      </c>
      <c r="N557">
        <v>117</v>
      </c>
      <c r="O557">
        <v>10.29</v>
      </c>
      <c r="P557">
        <v>5.6</v>
      </c>
      <c r="Q557">
        <v>2</v>
      </c>
      <c r="R557">
        <v>1.51</v>
      </c>
      <c r="S557">
        <v>1</v>
      </c>
      <c r="T557" t="b">
        <v>0</v>
      </c>
      <c r="U557" t="str">
        <f t="shared" si="40"/>
        <v>High Usage</v>
      </c>
      <c r="V557" t="str">
        <f t="shared" si="41"/>
        <v>Normal</v>
      </c>
      <c r="W557" t="str">
        <f t="shared" si="42"/>
        <v>Stable</v>
      </c>
      <c r="X557" t="str">
        <f t="shared" si="43"/>
        <v>Low</v>
      </c>
      <c r="Y557">
        <f t="shared" si="44"/>
        <v>160</v>
      </c>
    </row>
    <row r="558" spans="1:25">
      <c r="A558" t="s">
        <v>66</v>
      </c>
      <c r="B558">
        <v>87</v>
      </c>
      <c r="C558">
        <v>415</v>
      </c>
      <c r="D558" t="s">
        <v>21</v>
      </c>
      <c r="E558" t="s">
        <v>21</v>
      </c>
      <c r="F558">
        <v>0</v>
      </c>
      <c r="G558">
        <v>58</v>
      </c>
      <c r="H558">
        <v>125</v>
      </c>
      <c r="I558">
        <v>9.86</v>
      </c>
      <c r="J558">
        <v>67.5</v>
      </c>
      <c r="K558">
        <v>116</v>
      </c>
      <c r="L558">
        <v>5.74</v>
      </c>
      <c r="M558">
        <v>185.9</v>
      </c>
      <c r="N558">
        <v>136</v>
      </c>
      <c r="O558">
        <v>8.3699999999999992</v>
      </c>
      <c r="P558">
        <v>11.5</v>
      </c>
      <c r="Q558">
        <v>3</v>
      </c>
      <c r="R558">
        <v>3.11</v>
      </c>
      <c r="S558">
        <v>0</v>
      </c>
      <c r="T558" t="b">
        <v>0</v>
      </c>
      <c r="U558" t="str">
        <f t="shared" si="40"/>
        <v>Normal Usage</v>
      </c>
      <c r="V558" t="str">
        <f t="shared" si="41"/>
        <v>Normal</v>
      </c>
      <c r="W558" t="str">
        <f t="shared" si="42"/>
        <v>Stable</v>
      </c>
      <c r="X558" t="str">
        <f t="shared" si="43"/>
        <v>Low</v>
      </c>
      <c r="Y558">
        <f t="shared" si="44"/>
        <v>87</v>
      </c>
    </row>
    <row r="559" spans="1:25">
      <c r="A559" t="s">
        <v>46</v>
      </c>
      <c r="B559">
        <v>81</v>
      </c>
      <c r="C559">
        <v>415</v>
      </c>
      <c r="D559" t="s">
        <v>21</v>
      </c>
      <c r="E559" t="s">
        <v>21</v>
      </c>
      <c r="F559">
        <v>0</v>
      </c>
      <c r="G559">
        <v>173.2</v>
      </c>
      <c r="H559">
        <v>80</v>
      </c>
      <c r="I559">
        <v>29.44</v>
      </c>
      <c r="J559">
        <v>236.2</v>
      </c>
      <c r="K559">
        <v>94</v>
      </c>
      <c r="L559">
        <v>20.079999999999998</v>
      </c>
      <c r="M559">
        <v>240.2</v>
      </c>
      <c r="N559">
        <v>84</v>
      </c>
      <c r="O559">
        <v>10.81</v>
      </c>
      <c r="P559">
        <v>11.8</v>
      </c>
      <c r="Q559">
        <v>6</v>
      </c>
      <c r="R559">
        <v>3.19</v>
      </c>
      <c r="S559">
        <v>2</v>
      </c>
      <c r="T559" t="b">
        <v>0</v>
      </c>
      <c r="U559" t="str">
        <f t="shared" si="40"/>
        <v>Normal Usage</v>
      </c>
      <c r="V559" t="str">
        <f t="shared" si="41"/>
        <v>Normal</v>
      </c>
      <c r="W559" t="str">
        <f t="shared" si="42"/>
        <v>Stable</v>
      </c>
      <c r="X559" t="str">
        <f t="shared" si="43"/>
        <v>Low</v>
      </c>
      <c r="Y559">
        <f t="shared" si="44"/>
        <v>81</v>
      </c>
    </row>
    <row r="560" spans="1:25">
      <c r="A560" t="s">
        <v>62</v>
      </c>
      <c r="B560">
        <v>28</v>
      </c>
      <c r="C560">
        <v>415</v>
      </c>
      <c r="D560" t="s">
        <v>21</v>
      </c>
      <c r="E560" t="s">
        <v>21</v>
      </c>
      <c r="F560">
        <v>0</v>
      </c>
      <c r="G560">
        <v>236.8</v>
      </c>
      <c r="H560">
        <v>102</v>
      </c>
      <c r="I560">
        <v>40.26</v>
      </c>
      <c r="J560">
        <v>167.1</v>
      </c>
      <c r="K560">
        <v>87</v>
      </c>
      <c r="L560">
        <v>14.2</v>
      </c>
      <c r="M560">
        <v>280.2</v>
      </c>
      <c r="N560">
        <v>115</v>
      </c>
      <c r="O560">
        <v>12.61</v>
      </c>
      <c r="P560">
        <v>9.6999999999999993</v>
      </c>
      <c r="Q560">
        <v>3</v>
      </c>
      <c r="R560">
        <v>2.62</v>
      </c>
      <c r="S560">
        <v>3</v>
      </c>
      <c r="T560" t="b">
        <v>0</v>
      </c>
      <c r="U560" t="str">
        <f t="shared" si="40"/>
        <v>High Usage</v>
      </c>
      <c r="V560" t="str">
        <f t="shared" si="41"/>
        <v>Normal</v>
      </c>
      <c r="W560" t="str">
        <f t="shared" si="42"/>
        <v>Stable</v>
      </c>
      <c r="X560" t="str">
        <f t="shared" si="43"/>
        <v>Medium</v>
      </c>
      <c r="Y560">
        <f t="shared" si="44"/>
        <v>28</v>
      </c>
    </row>
    <row r="561" spans="1:25">
      <c r="A561" t="s">
        <v>31</v>
      </c>
      <c r="B561">
        <v>95</v>
      </c>
      <c r="C561">
        <v>408</v>
      </c>
      <c r="D561" t="s">
        <v>21</v>
      </c>
      <c r="E561" t="s">
        <v>21</v>
      </c>
      <c r="F561">
        <v>0</v>
      </c>
      <c r="G561">
        <v>237.3</v>
      </c>
      <c r="H561">
        <v>83</v>
      </c>
      <c r="I561">
        <v>40.340000000000003</v>
      </c>
      <c r="J561">
        <v>154</v>
      </c>
      <c r="K561">
        <v>65</v>
      </c>
      <c r="L561">
        <v>13.09</v>
      </c>
      <c r="M561">
        <v>237</v>
      </c>
      <c r="N561">
        <v>105</v>
      </c>
      <c r="O561">
        <v>10.67</v>
      </c>
      <c r="P561">
        <v>11.2</v>
      </c>
      <c r="Q561">
        <v>6</v>
      </c>
      <c r="R561">
        <v>3.02</v>
      </c>
      <c r="S561">
        <v>1</v>
      </c>
      <c r="T561" t="b">
        <v>0</v>
      </c>
      <c r="U561" t="str">
        <f t="shared" si="40"/>
        <v>High Usage</v>
      </c>
      <c r="V561" t="str">
        <f t="shared" si="41"/>
        <v>Normal</v>
      </c>
      <c r="W561" t="str">
        <f t="shared" si="42"/>
        <v>Stable</v>
      </c>
      <c r="X561" t="str">
        <f t="shared" si="43"/>
        <v>Low</v>
      </c>
      <c r="Y561">
        <f t="shared" si="44"/>
        <v>95</v>
      </c>
    </row>
    <row r="562" spans="1:25">
      <c r="A562" t="s">
        <v>64</v>
      </c>
      <c r="B562">
        <v>35</v>
      </c>
      <c r="C562">
        <v>408</v>
      </c>
      <c r="D562" t="s">
        <v>21</v>
      </c>
      <c r="E562" t="s">
        <v>21</v>
      </c>
      <c r="F562">
        <v>0</v>
      </c>
      <c r="G562">
        <v>158.6</v>
      </c>
      <c r="H562">
        <v>67</v>
      </c>
      <c r="I562">
        <v>26.96</v>
      </c>
      <c r="J562">
        <v>130.4</v>
      </c>
      <c r="K562">
        <v>96</v>
      </c>
      <c r="L562">
        <v>11.08</v>
      </c>
      <c r="M562">
        <v>229.8</v>
      </c>
      <c r="N562">
        <v>80</v>
      </c>
      <c r="O562">
        <v>10.34</v>
      </c>
      <c r="P562">
        <v>6.9</v>
      </c>
      <c r="Q562">
        <v>5</v>
      </c>
      <c r="R562">
        <v>1.86</v>
      </c>
      <c r="S562">
        <v>2</v>
      </c>
      <c r="T562" t="b">
        <v>0</v>
      </c>
      <c r="U562" t="str">
        <f t="shared" si="40"/>
        <v>Normal Usage</v>
      </c>
      <c r="V562" t="str">
        <f t="shared" si="41"/>
        <v>Normal</v>
      </c>
      <c r="W562" t="str">
        <f t="shared" si="42"/>
        <v>Stable</v>
      </c>
      <c r="X562" t="str">
        <f t="shared" si="43"/>
        <v>Low</v>
      </c>
      <c r="Y562">
        <f t="shared" si="44"/>
        <v>35</v>
      </c>
    </row>
    <row r="563" spans="1:25">
      <c r="A563" t="s">
        <v>50</v>
      </c>
      <c r="B563">
        <v>134</v>
      </c>
      <c r="C563">
        <v>510</v>
      </c>
      <c r="D563" t="s">
        <v>21</v>
      </c>
      <c r="E563" t="s">
        <v>21</v>
      </c>
      <c r="F563">
        <v>0</v>
      </c>
      <c r="G563">
        <v>296</v>
      </c>
      <c r="H563">
        <v>93</v>
      </c>
      <c r="I563">
        <v>50.32</v>
      </c>
      <c r="J563">
        <v>226.4</v>
      </c>
      <c r="K563">
        <v>117</v>
      </c>
      <c r="L563">
        <v>19.239999999999998</v>
      </c>
      <c r="M563">
        <v>246.8</v>
      </c>
      <c r="N563">
        <v>98</v>
      </c>
      <c r="O563">
        <v>11.11</v>
      </c>
      <c r="P563">
        <v>12.3</v>
      </c>
      <c r="Q563">
        <v>10</v>
      </c>
      <c r="R563">
        <v>3.32</v>
      </c>
      <c r="S563">
        <v>0</v>
      </c>
      <c r="T563" t="b">
        <v>1</v>
      </c>
      <c r="U563" t="str">
        <f t="shared" si="40"/>
        <v>High Usage</v>
      </c>
      <c r="V563" t="str">
        <f t="shared" si="41"/>
        <v>Normal</v>
      </c>
      <c r="W563" t="str">
        <f t="shared" si="42"/>
        <v>Potential Churn</v>
      </c>
      <c r="X563" t="str">
        <f t="shared" si="43"/>
        <v>Low</v>
      </c>
      <c r="Y563">
        <f t="shared" si="44"/>
        <v>134</v>
      </c>
    </row>
    <row r="564" spans="1:25">
      <c r="A564" t="s">
        <v>69</v>
      </c>
      <c r="B564">
        <v>185</v>
      </c>
      <c r="C564">
        <v>415</v>
      </c>
      <c r="D564" t="s">
        <v>21</v>
      </c>
      <c r="E564" t="s">
        <v>27</v>
      </c>
      <c r="F564">
        <v>19</v>
      </c>
      <c r="G564">
        <v>157.30000000000001</v>
      </c>
      <c r="H564">
        <v>123</v>
      </c>
      <c r="I564">
        <v>26.74</v>
      </c>
      <c r="J564">
        <v>257.7</v>
      </c>
      <c r="K564">
        <v>94</v>
      </c>
      <c r="L564">
        <v>21.9</v>
      </c>
      <c r="M564">
        <v>190.4</v>
      </c>
      <c r="N564">
        <v>107</v>
      </c>
      <c r="O564">
        <v>8.57</v>
      </c>
      <c r="P564">
        <v>9.6</v>
      </c>
      <c r="Q564">
        <v>6</v>
      </c>
      <c r="R564">
        <v>2.59</v>
      </c>
      <c r="S564">
        <v>0</v>
      </c>
      <c r="T564" t="b">
        <v>0</v>
      </c>
      <c r="U564" t="str">
        <f t="shared" si="40"/>
        <v>Normal Usage</v>
      </c>
      <c r="V564" t="str">
        <f t="shared" si="41"/>
        <v>Normal</v>
      </c>
      <c r="W564" t="str">
        <f t="shared" si="42"/>
        <v>Stable</v>
      </c>
      <c r="X564" t="str">
        <f t="shared" si="43"/>
        <v>Low</v>
      </c>
      <c r="Y564">
        <f t="shared" si="44"/>
        <v>185</v>
      </c>
    </row>
    <row r="565" spans="1:25">
      <c r="A565" t="s">
        <v>67</v>
      </c>
      <c r="B565">
        <v>85</v>
      </c>
      <c r="C565">
        <v>408</v>
      </c>
      <c r="D565" t="s">
        <v>21</v>
      </c>
      <c r="E565" t="s">
        <v>21</v>
      </c>
      <c r="F565">
        <v>0</v>
      </c>
      <c r="G565">
        <v>144.4</v>
      </c>
      <c r="H565">
        <v>88</v>
      </c>
      <c r="I565">
        <v>24.55</v>
      </c>
      <c r="J565">
        <v>264.60000000000002</v>
      </c>
      <c r="K565">
        <v>105</v>
      </c>
      <c r="L565">
        <v>22.49</v>
      </c>
      <c r="M565">
        <v>185.4</v>
      </c>
      <c r="N565">
        <v>94</v>
      </c>
      <c r="O565">
        <v>8.34</v>
      </c>
      <c r="P565">
        <v>9.9</v>
      </c>
      <c r="Q565">
        <v>3</v>
      </c>
      <c r="R565">
        <v>2.67</v>
      </c>
      <c r="S565">
        <v>1</v>
      </c>
      <c r="T565" t="b">
        <v>0</v>
      </c>
      <c r="U565" t="str">
        <f t="shared" si="40"/>
        <v>Normal Usage</v>
      </c>
      <c r="V565" t="str">
        <f t="shared" si="41"/>
        <v>Normal</v>
      </c>
      <c r="W565" t="str">
        <f t="shared" si="42"/>
        <v>Stable</v>
      </c>
      <c r="X565" t="str">
        <f t="shared" si="43"/>
        <v>Low</v>
      </c>
      <c r="Y565">
        <f t="shared" si="44"/>
        <v>85</v>
      </c>
    </row>
    <row r="566" spans="1:25">
      <c r="A566" t="s">
        <v>70</v>
      </c>
      <c r="B566">
        <v>148</v>
      </c>
      <c r="C566">
        <v>415</v>
      </c>
      <c r="D566" t="s">
        <v>21</v>
      </c>
      <c r="E566" t="s">
        <v>27</v>
      </c>
      <c r="F566">
        <v>36</v>
      </c>
      <c r="G566">
        <v>77.599999999999994</v>
      </c>
      <c r="H566">
        <v>141</v>
      </c>
      <c r="I566">
        <v>13.19</v>
      </c>
      <c r="J566">
        <v>207</v>
      </c>
      <c r="K566">
        <v>60</v>
      </c>
      <c r="L566">
        <v>17.600000000000001</v>
      </c>
      <c r="M566">
        <v>255.7</v>
      </c>
      <c r="N566">
        <v>115</v>
      </c>
      <c r="O566">
        <v>11.51</v>
      </c>
      <c r="P566">
        <v>10.9</v>
      </c>
      <c r="Q566">
        <v>2</v>
      </c>
      <c r="R566">
        <v>2.94</v>
      </c>
      <c r="S566">
        <v>1</v>
      </c>
      <c r="T566" t="b">
        <v>0</v>
      </c>
      <c r="U566" t="str">
        <f t="shared" si="40"/>
        <v>Normal Usage</v>
      </c>
      <c r="V566" t="str">
        <f t="shared" si="41"/>
        <v>Normal</v>
      </c>
      <c r="W566" t="str">
        <f t="shared" si="42"/>
        <v>Stable</v>
      </c>
      <c r="X566" t="str">
        <f t="shared" si="43"/>
        <v>Low</v>
      </c>
      <c r="Y566">
        <f t="shared" si="44"/>
        <v>148</v>
      </c>
    </row>
    <row r="567" spans="1:25">
      <c r="A567" t="s">
        <v>56</v>
      </c>
      <c r="B567">
        <v>134</v>
      </c>
      <c r="C567">
        <v>408</v>
      </c>
      <c r="D567" t="s">
        <v>21</v>
      </c>
      <c r="E567" t="s">
        <v>27</v>
      </c>
      <c r="F567">
        <v>32</v>
      </c>
      <c r="G567">
        <v>80.3</v>
      </c>
      <c r="H567">
        <v>94</v>
      </c>
      <c r="I567">
        <v>13.65</v>
      </c>
      <c r="J567">
        <v>199.9</v>
      </c>
      <c r="K567">
        <v>124</v>
      </c>
      <c r="L567">
        <v>16.989999999999998</v>
      </c>
      <c r="M567">
        <v>170.8</v>
      </c>
      <c r="N567">
        <v>117</v>
      </c>
      <c r="O567">
        <v>7.69</v>
      </c>
      <c r="P567">
        <v>16.600000000000001</v>
      </c>
      <c r="Q567">
        <v>3</v>
      </c>
      <c r="R567">
        <v>4.4800000000000004</v>
      </c>
      <c r="S567">
        <v>0</v>
      </c>
      <c r="T567" t="b">
        <v>0</v>
      </c>
      <c r="U567" t="str">
        <f t="shared" si="40"/>
        <v>Normal Usage</v>
      </c>
      <c r="V567" t="str">
        <f t="shared" si="41"/>
        <v>Normal</v>
      </c>
      <c r="W567" t="str">
        <f t="shared" si="42"/>
        <v>Stable</v>
      </c>
      <c r="X567" t="str">
        <f t="shared" si="43"/>
        <v>Low</v>
      </c>
      <c r="Y567">
        <f t="shared" si="44"/>
        <v>134</v>
      </c>
    </row>
    <row r="568" spans="1:25">
      <c r="A568" t="s">
        <v>35</v>
      </c>
      <c r="B568">
        <v>80</v>
      </c>
      <c r="C568">
        <v>408</v>
      </c>
      <c r="D568" t="s">
        <v>21</v>
      </c>
      <c r="E568" t="s">
        <v>27</v>
      </c>
      <c r="F568">
        <v>36</v>
      </c>
      <c r="G568">
        <v>190.3</v>
      </c>
      <c r="H568">
        <v>115</v>
      </c>
      <c r="I568">
        <v>32.35</v>
      </c>
      <c r="J568">
        <v>256.60000000000002</v>
      </c>
      <c r="K568">
        <v>78</v>
      </c>
      <c r="L568">
        <v>21.81</v>
      </c>
      <c r="M568">
        <v>214.9</v>
      </c>
      <c r="N568">
        <v>145</v>
      </c>
      <c r="O568">
        <v>9.67</v>
      </c>
      <c r="P568">
        <v>3.8</v>
      </c>
      <c r="Q568">
        <v>4</v>
      </c>
      <c r="R568">
        <v>1.03</v>
      </c>
      <c r="S568">
        <v>1</v>
      </c>
      <c r="T568" t="b">
        <v>0</v>
      </c>
      <c r="U568" t="str">
        <f t="shared" si="40"/>
        <v>Normal Usage</v>
      </c>
      <c r="V568" t="str">
        <f t="shared" si="41"/>
        <v>Normal</v>
      </c>
      <c r="W568" t="str">
        <f t="shared" si="42"/>
        <v>Stable</v>
      </c>
      <c r="X568" t="str">
        <f t="shared" si="43"/>
        <v>Low</v>
      </c>
      <c r="Y568">
        <f t="shared" si="44"/>
        <v>80</v>
      </c>
    </row>
    <row r="569" spans="1:25">
      <c r="A569" t="s">
        <v>42</v>
      </c>
      <c r="B569">
        <v>165</v>
      </c>
      <c r="C569">
        <v>510</v>
      </c>
      <c r="D569" t="s">
        <v>21</v>
      </c>
      <c r="E569" t="s">
        <v>21</v>
      </c>
      <c r="F569">
        <v>0</v>
      </c>
      <c r="G569">
        <v>209.4</v>
      </c>
      <c r="H569">
        <v>67</v>
      </c>
      <c r="I569">
        <v>35.6</v>
      </c>
      <c r="J569">
        <v>273.8</v>
      </c>
      <c r="K569">
        <v>89</v>
      </c>
      <c r="L569">
        <v>23.27</v>
      </c>
      <c r="M569">
        <v>150.19999999999999</v>
      </c>
      <c r="N569">
        <v>88</v>
      </c>
      <c r="O569">
        <v>6.76</v>
      </c>
      <c r="P569">
        <v>12.8</v>
      </c>
      <c r="Q569">
        <v>1</v>
      </c>
      <c r="R569">
        <v>3.46</v>
      </c>
      <c r="S569">
        <v>0</v>
      </c>
      <c r="T569" t="b">
        <v>0</v>
      </c>
      <c r="U569" t="str">
        <f t="shared" si="40"/>
        <v>High Usage</v>
      </c>
      <c r="V569" t="str">
        <f t="shared" si="41"/>
        <v>Normal</v>
      </c>
      <c r="W569" t="str">
        <f t="shared" si="42"/>
        <v>Stable</v>
      </c>
      <c r="X569" t="str">
        <f t="shared" si="43"/>
        <v>Low</v>
      </c>
      <c r="Y569">
        <f t="shared" si="44"/>
        <v>165</v>
      </c>
    </row>
    <row r="570" spans="1:25">
      <c r="A570" t="s">
        <v>52</v>
      </c>
      <c r="B570">
        <v>65</v>
      </c>
      <c r="C570">
        <v>415</v>
      </c>
      <c r="D570" t="s">
        <v>21</v>
      </c>
      <c r="E570" t="s">
        <v>27</v>
      </c>
      <c r="F570">
        <v>34</v>
      </c>
      <c r="G570">
        <v>208.8</v>
      </c>
      <c r="H570">
        <v>119</v>
      </c>
      <c r="I570">
        <v>35.5</v>
      </c>
      <c r="J570">
        <v>142.1</v>
      </c>
      <c r="K570">
        <v>106</v>
      </c>
      <c r="L570">
        <v>12.08</v>
      </c>
      <c r="M570">
        <v>214.6</v>
      </c>
      <c r="N570">
        <v>87</v>
      </c>
      <c r="O570">
        <v>9.66</v>
      </c>
      <c r="P570">
        <v>12.5</v>
      </c>
      <c r="Q570">
        <v>4</v>
      </c>
      <c r="R570">
        <v>3.38</v>
      </c>
      <c r="S570">
        <v>4</v>
      </c>
      <c r="T570" t="b">
        <v>0</v>
      </c>
      <c r="U570" t="str">
        <f t="shared" si="40"/>
        <v>High Usage</v>
      </c>
      <c r="V570" t="str">
        <f t="shared" si="41"/>
        <v>Normal</v>
      </c>
      <c r="W570" t="str">
        <f t="shared" si="42"/>
        <v>Potential Churn</v>
      </c>
      <c r="X570" t="str">
        <f t="shared" si="43"/>
        <v>Medium</v>
      </c>
      <c r="Y570">
        <f t="shared" si="44"/>
        <v>65</v>
      </c>
    </row>
    <row r="571" spans="1:25">
      <c r="A571" t="s">
        <v>55</v>
      </c>
      <c r="B571">
        <v>104</v>
      </c>
      <c r="C571">
        <v>415</v>
      </c>
      <c r="D571" t="s">
        <v>21</v>
      </c>
      <c r="E571" t="s">
        <v>21</v>
      </c>
      <c r="F571">
        <v>0</v>
      </c>
      <c r="G571">
        <v>113.6</v>
      </c>
      <c r="H571">
        <v>87</v>
      </c>
      <c r="I571">
        <v>19.309999999999999</v>
      </c>
      <c r="J571">
        <v>158.6</v>
      </c>
      <c r="K571">
        <v>98</v>
      </c>
      <c r="L571">
        <v>13.48</v>
      </c>
      <c r="M571">
        <v>187.7</v>
      </c>
      <c r="N571">
        <v>87</v>
      </c>
      <c r="O571">
        <v>8.4499999999999993</v>
      </c>
      <c r="P571">
        <v>10.5</v>
      </c>
      <c r="Q571">
        <v>6</v>
      </c>
      <c r="R571">
        <v>2.84</v>
      </c>
      <c r="S571">
        <v>2</v>
      </c>
      <c r="T571" t="b">
        <v>0</v>
      </c>
      <c r="U571" t="str">
        <f t="shared" si="40"/>
        <v>Normal Usage</v>
      </c>
      <c r="V571" t="str">
        <f t="shared" si="41"/>
        <v>Normal</v>
      </c>
      <c r="W571" t="str">
        <f t="shared" si="42"/>
        <v>Stable</v>
      </c>
      <c r="X571" t="str">
        <f t="shared" si="43"/>
        <v>Low</v>
      </c>
      <c r="Y571">
        <f t="shared" si="44"/>
        <v>104</v>
      </c>
    </row>
    <row r="572" spans="1:25">
      <c r="A572" t="s">
        <v>59</v>
      </c>
      <c r="B572">
        <v>44</v>
      </c>
      <c r="C572">
        <v>415</v>
      </c>
      <c r="D572" t="s">
        <v>21</v>
      </c>
      <c r="E572" t="s">
        <v>21</v>
      </c>
      <c r="F572">
        <v>0</v>
      </c>
      <c r="G572">
        <v>202.6</v>
      </c>
      <c r="H572">
        <v>89</v>
      </c>
      <c r="I572">
        <v>34.44</v>
      </c>
      <c r="J572">
        <v>163</v>
      </c>
      <c r="K572">
        <v>96</v>
      </c>
      <c r="L572">
        <v>13.86</v>
      </c>
      <c r="M572">
        <v>268.10000000000002</v>
      </c>
      <c r="N572">
        <v>151</v>
      </c>
      <c r="O572">
        <v>12.06</v>
      </c>
      <c r="P572">
        <v>8.3000000000000007</v>
      </c>
      <c r="Q572">
        <v>3</v>
      </c>
      <c r="R572">
        <v>2.2400000000000002</v>
      </c>
      <c r="S572">
        <v>0</v>
      </c>
      <c r="T572" t="b">
        <v>0</v>
      </c>
      <c r="U572" t="str">
        <f t="shared" si="40"/>
        <v>High Usage</v>
      </c>
      <c r="V572" t="str">
        <f t="shared" si="41"/>
        <v>Normal</v>
      </c>
      <c r="W572" t="str">
        <f t="shared" si="42"/>
        <v>Stable</v>
      </c>
      <c r="X572" t="str">
        <f t="shared" si="43"/>
        <v>Low</v>
      </c>
      <c r="Y572">
        <f t="shared" si="44"/>
        <v>44</v>
      </c>
    </row>
    <row r="573" spans="1:25">
      <c r="A573" t="s">
        <v>42</v>
      </c>
      <c r="B573">
        <v>162</v>
      </c>
      <c r="C573">
        <v>415</v>
      </c>
      <c r="D573" t="s">
        <v>21</v>
      </c>
      <c r="E573" t="s">
        <v>21</v>
      </c>
      <c r="F573">
        <v>0</v>
      </c>
      <c r="G573">
        <v>135.19999999999999</v>
      </c>
      <c r="H573">
        <v>98</v>
      </c>
      <c r="I573">
        <v>22.98</v>
      </c>
      <c r="J573">
        <v>242</v>
      </c>
      <c r="K573">
        <v>107</v>
      </c>
      <c r="L573">
        <v>20.57</v>
      </c>
      <c r="M573">
        <v>246.9</v>
      </c>
      <c r="N573">
        <v>96</v>
      </c>
      <c r="O573">
        <v>11.11</v>
      </c>
      <c r="P573">
        <v>10.199999999999999</v>
      </c>
      <c r="Q573">
        <v>2</v>
      </c>
      <c r="R573">
        <v>2.75</v>
      </c>
      <c r="S573">
        <v>2</v>
      </c>
      <c r="T573" t="b">
        <v>0</v>
      </c>
      <c r="U573" t="str">
        <f t="shared" si="40"/>
        <v>Normal Usage</v>
      </c>
      <c r="V573" t="str">
        <f t="shared" si="41"/>
        <v>Normal</v>
      </c>
      <c r="W573" t="str">
        <f t="shared" si="42"/>
        <v>Stable</v>
      </c>
      <c r="X573" t="str">
        <f t="shared" si="43"/>
        <v>Low</v>
      </c>
      <c r="Y573">
        <f t="shared" si="44"/>
        <v>162</v>
      </c>
    </row>
    <row r="574" spans="1:25">
      <c r="A574" t="s">
        <v>40</v>
      </c>
      <c r="B574">
        <v>96</v>
      </c>
      <c r="C574">
        <v>415</v>
      </c>
      <c r="D574" t="s">
        <v>21</v>
      </c>
      <c r="E574" t="s">
        <v>21</v>
      </c>
      <c r="F574">
        <v>0</v>
      </c>
      <c r="G574">
        <v>276.89999999999998</v>
      </c>
      <c r="H574">
        <v>105</v>
      </c>
      <c r="I574">
        <v>47.07</v>
      </c>
      <c r="J574">
        <v>246.9</v>
      </c>
      <c r="K574">
        <v>94</v>
      </c>
      <c r="L574">
        <v>20.99</v>
      </c>
      <c r="M574">
        <v>254.4</v>
      </c>
      <c r="N574">
        <v>107</v>
      </c>
      <c r="O574">
        <v>11.45</v>
      </c>
      <c r="P574">
        <v>10.3</v>
      </c>
      <c r="Q574">
        <v>3</v>
      </c>
      <c r="R574">
        <v>2.78</v>
      </c>
      <c r="S574">
        <v>1</v>
      </c>
      <c r="T574" t="b">
        <v>1</v>
      </c>
      <c r="U574" t="str">
        <f t="shared" si="40"/>
        <v>High Usage</v>
      </c>
      <c r="V574" t="str">
        <f t="shared" si="41"/>
        <v>Normal</v>
      </c>
      <c r="W574" t="str">
        <f t="shared" si="42"/>
        <v>Potential Churn</v>
      </c>
      <c r="X574" t="str">
        <f t="shared" si="43"/>
        <v>Low</v>
      </c>
      <c r="Y574">
        <f t="shared" si="44"/>
        <v>96</v>
      </c>
    </row>
    <row r="575" spans="1:25">
      <c r="A575" t="s">
        <v>22</v>
      </c>
      <c r="B575">
        <v>72</v>
      </c>
      <c r="C575">
        <v>510</v>
      </c>
      <c r="D575" t="s">
        <v>21</v>
      </c>
      <c r="E575" t="s">
        <v>21</v>
      </c>
      <c r="F575">
        <v>0</v>
      </c>
      <c r="G575">
        <v>287.39999999999998</v>
      </c>
      <c r="H575">
        <v>116</v>
      </c>
      <c r="I575">
        <v>48.86</v>
      </c>
      <c r="J575">
        <v>235.3</v>
      </c>
      <c r="K575">
        <v>126</v>
      </c>
      <c r="L575">
        <v>20</v>
      </c>
      <c r="M575">
        <v>292.10000000000002</v>
      </c>
      <c r="N575">
        <v>114</v>
      </c>
      <c r="O575">
        <v>13.14</v>
      </c>
      <c r="P575">
        <v>5</v>
      </c>
      <c r="Q575">
        <v>3</v>
      </c>
      <c r="R575">
        <v>1.35</v>
      </c>
      <c r="S575">
        <v>4</v>
      </c>
      <c r="T575" t="b">
        <v>1</v>
      </c>
      <c r="U575" t="str">
        <f t="shared" si="40"/>
        <v>High Usage</v>
      </c>
      <c r="V575" t="str">
        <f t="shared" si="41"/>
        <v>Normal</v>
      </c>
      <c r="W575" t="str">
        <f t="shared" si="42"/>
        <v>Potential Churn</v>
      </c>
      <c r="X575" t="str">
        <f t="shared" si="43"/>
        <v>Medium</v>
      </c>
      <c r="Y575">
        <f t="shared" si="44"/>
        <v>72</v>
      </c>
    </row>
    <row r="576" spans="1:25">
      <c r="A576" t="s">
        <v>41</v>
      </c>
      <c r="B576">
        <v>31</v>
      </c>
      <c r="C576">
        <v>415</v>
      </c>
      <c r="D576" t="s">
        <v>21</v>
      </c>
      <c r="E576" t="s">
        <v>21</v>
      </c>
      <c r="F576">
        <v>0</v>
      </c>
      <c r="G576">
        <v>97.5</v>
      </c>
      <c r="H576">
        <v>129</v>
      </c>
      <c r="I576">
        <v>16.579999999999998</v>
      </c>
      <c r="J576">
        <v>260.39999999999998</v>
      </c>
      <c r="K576">
        <v>78</v>
      </c>
      <c r="L576">
        <v>22.13</v>
      </c>
      <c r="M576">
        <v>88.7</v>
      </c>
      <c r="N576">
        <v>100</v>
      </c>
      <c r="O576">
        <v>3.99</v>
      </c>
      <c r="P576">
        <v>7</v>
      </c>
      <c r="Q576">
        <v>5</v>
      </c>
      <c r="R576">
        <v>1.89</v>
      </c>
      <c r="S576">
        <v>1</v>
      </c>
      <c r="T576" t="b">
        <v>0</v>
      </c>
      <c r="U576" t="str">
        <f t="shared" si="40"/>
        <v>Normal Usage</v>
      </c>
      <c r="V576" t="str">
        <f t="shared" si="41"/>
        <v>Normal</v>
      </c>
      <c r="W576" t="str">
        <f t="shared" si="42"/>
        <v>Stable</v>
      </c>
      <c r="X576" t="str">
        <f t="shared" si="43"/>
        <v>Low</v>
      </c>
      <c r="Y576">
        <f t="shared" si="44"/>
        <v>31</v>
      </c>
    </row>
    <row r="577" spans="1:25">
      <c r="A577" t="s">
        <v>44</v>
      </c>
      <c r="B577">
        <v>72</v>
      </c>
      <c r="C577">
        <v>415</v>
      </c>
      <c r="D577" t="s">
        <v>21</v>
      </c>
      <c r="E577" t="s">
        <v>21</v>
      </c>
      <c r="F577">
        <v>0</v>
      </c>
      <c r="G577">
        <v>166.5</v>
      </c>
      <c r="H577">
        <v>102</v>
      </c>
      <c r="I577">
        <v>28.31</v>
      </c>
      <c r="J577">
        <v>261</v>
      </c>
      <c r="K577">
        <v>103</v>
      </c>
      <c r="L577">
        <v>22.19</v>
      </c>
      <c r="M577">
        <v>262.7</v>
      </c>
      <c r="N577">
        <v>85</v>
      </c>
      <c r="O577">
        <v>11.82</v>
      </c>
      <c r="P577">
        <v>13.3</v>
      </c>
      <c r="Q577">
        <v>5</v>
      </c>
      <c r="R577">
        <v>3.59</v>
      </c>
      <c r="S577">
        <v>0</v>
      </c>
      <c r="T577" t="b">
        <v>0</v>
      </c>
      <c r="U577" t="str">
        <f t="shared" si="40"/>
        <v>Normal Usage</v>
      </c>
      <c r="V577" t="str">
        <f t="shared" si="41"/>
        <v>Normal</v>
      </c>
      <c r="W577" t="str">
        <f t="shared" si="42"/>
        <v>Stable</v>
      </c>
      <c r="X577" t="str">
        <f t="shared" si="43"/>
        <v>Low</v>
      </c>
      <c r="Y577">
        <f t="shared" si="44"/>
        <v>72</v>
      </c>
    </row>
    <row r="578" spans="1:25">
      <c r="A578" t="s">
        <v>67</v>
      </c>
      <c r="B578">
        <v>136</v>
      </c>
      <c r="C578">
        <v>408</v>
      </c>
      <c r="D578" t="s">
        <v>21</v>
      </c>
      <c r="E578" t="s">
        <v>21</v>
      </c>
      <c r="F578">
        <v>0</v>
      </c>
      <c r="G578">
        <v>102.1</v>
      </c>
      <c r="H578">
        <v>75</v>
      </c>
      <c r="I578">
        <v>17.36</v>
      </c>
      <c r="J578">
        <v>219.5</v>
      </c>
      <c r="K578">
        <v>97</v>
      </c>
      <c r="L578">
        <v>18.66</v>
      </c>
      <c r="M578">
        <v>73.7</v>
      </c>
      <c r="N578">
        <v>92</v>
      </c>
      <c r="O578">
        <v>3.32</v>
      </c>
      <c r="P578">
        <v>9.8000000000000007</v>
      </c>
      <c r="Q578">
        <v>5</v>
      </c>
      <c r="R578">
        <v>2.65</v>
      </c>
      <c r="S578">
        <v>0</v>
      </c>
      <c r="T578" t="b">
        <v>0</v>
      </c>
      <c r="U578" t="str">
        <f t="shared" si="40"/>
        <v>Normal Usage</v>
      </c>
      <c r="V578" t="str">
        <f t="shared" si="41"/>
        <v>Normal</v>
      </c>
      <c r="W578" t="str">
        <f t="shared" si="42"/>
        <v>Stable</v>
      </c>
      <c r="X578" t="str">
        <f t="shared" si="43"/>
        <v>Low</v>
      </c>
      <c r="Y578">
        <f t="shared" si="44"/>
        <v>136</v>
      </c>
    </row>
    <row r="579" spans="1:25">
      <c r="A579" t="s">
        <v>47</v>
      </c>
      <c r="B579">
        <v>82</v>
      </c>
      <c r="C579">
        <v>415</v>
      </c>
      <c r="D579" t="s">
        <v>21</v>
      </c>
      <c r="E579" t="s">
        <v>27</v>
      </c>
      <c r="F579">
        <v>19</v>
      </c>
      <c r="G579">
        <v>146.5</v>
      </c>
      <c r="H579">
        <v>73</v>
      </c>
      <c r="I579">
        <v>24.91</v>
      </c>
      <c r="J579">
        <v>246.4</v>
      </c>
      <c r="K579">
        <v>65</v>
      </c>
      <c r="L579">
        <v>20.94</v>
      </c>
      <c r="M579">
        <v>199</v>
      </c>
      <c r="N579">
        <v>114</v>
      </c>
      <c r="O579">
        <v>8.9600000000000009</v>
      </c>
      <c r="P579">
        <v>4.0999999999999996</v>
      </c>
      <c r="Q579">
        <v>4</v>
      </c>
      <c r="R579">
        <v>1.1100000000000001</v>
      </c>
      <c r="S579">
        <v>1</v>
      </c>
      <c r="T579" t="b">
        <v>0</v>
      </c>
      <c r="U579" t="str">
        <f t="shared" ref="U579:U642" si="45">IF(G579&gt;200,"High Usage","Normal Usage")</f>
        <v>Normal Usage</v>
      </c>
      <c r="V579" t="str">
        <f t="shared" ref="V579:V642" si="46">IF(AND(S579&gt;3,D579="Yes"),"High Risk","Normal")</f>
        <v>Normal</v>
      </c>
      <c r="W579" t="str">
        <f t="shared" ref="W579:W642" si="47">IF(OR(S579&gt;3,G579&gt;250),"Potential Churn","Stable")</f>
        <v>Stable</v>
      </c>
      <c r="X579" t="str">
        <f t="shared" ref="X579:X642" si="48">IF(S579&gt;5,"Critical",IF(S579&gt;=3,"Medium","Low"))</f>
        <v>Low</v>
      </c>
      <c r="Y579">
        <f t="shared" ref="Y579:Y642" si="49">VLOOKUP(A579,A578:U1245,2,FALSE)</f>
        <v>82</v>
      </c>
    </row>
    <row r="580" spans="1:25">
      <c r="A580" t="s">
        <v>32</v>
      </c>
      <c r="B580">
        <v>155</v>
      </c>
      <c r="C580">
        <v>408</v>
      </c>
      <c r="D580" t="s">
        <v>27</v>
      </c>
      <c r="E580" t="s">
        <v>21</v>
      </c>
      <c r="F580">
        <v>0</v>
      </c>
      <c r="G580">
        <v>250.8</v>
      </c>
      <c r="H580">
        <v>146</v>
      </c>
      <c r="I580">
        <v>42.64</v>
      </c>
      <c r="J580">
        <v>152.5</v>
      </c>
      <c r="K580">
        <v>105</v>
      </c>
      <c r="L580">
        <v>12.96</v>
      </c>
      <c r="M580">
        <v>148.1</v>
      </c>
      <c r="N580">
        <v>104</v>
      </c>
      <c r="O580">
        <v>6.66</v>
      </c>
      <c r="P580">
        <v>10</v>
      </c>
      <c r="Q580">
        <v>5</v>
      </c>
      <c r="R580">
        <v>2.7</v>
      </c>
      <c r="S580">
        <v>2</v>
      </c>
      <c r="T580" t="b">
        <v>0</v>
      </c>
      <c r="U580" t="str">
        <f t="shared" si="45"/>
        <v>High Usage</v>
      </c>
      <c r="V580" t="str">
        <f t="shared" si="46"/>
        <v>Normal</v>
      </c>
      <c r="W580" t="str">
        <f t="shared" si="47"/>
        <v>Potential Churn</v>
      </c>
      <c r="X580" t="str">
        <f t="shared" si="48"/>
        <v>Low</v>
      </c>
      <c r="Y580">
        <f t="shared" si="49"/>
        <v>155</v>
      </c>
    </row>
    <row r="581" spans="1:25">
      <c r="A581" t="s">
        <v>72</v>
      </c>
      <c r="B581">
        <v>136</v>
      </c>
      <c r="C581">
        <v>415</v>
      </c>
      <c r="D581" t="s">
        <v>21</v>
      </c>
      <c r="E581" t="s">
        <v>21</v>
      </c>
      <c r="F581">
        <v>0</v>
      </c>
      <c r="G581">
        <v>163.4</v>
      </c>
      <c r="H581">
        <v>83</v>
      </c>
      <c r="I581">
        <v>27.78</v>
      </c>
      <c r="J581">
        <v>249.3</v>
      </c>
      <c r="K581">
        <v>119</v>
      </c>
      <c r="L581">
        <v>21.19</v>
      </c>
      <c r="M581">
        <v>249.7</v>
      </c>
      <c r="N581">
        <v>90</v>
      </c>
      <c r="O581">
        <v>11.24</v>
      </c>
      <c r="P581">
        <v>9.8000000000000007</v>
      </c>
      <c r="Q581">
        <v>4</v>
      </c>
      <c r="R581">
        <v>2.65</v>
      </c>
      <c r="S581">
        <v>7</v>
      </c>
      <c r="T581" t="b">
        <v>0</v>
      </c>
      <c r="U581" t="str">
        <f t="shared" si="45"/>
        <v>Normal Usage</v>
      </c>
      <c r="V581" t="str">
        <f t="shared" si="46"/>
        <v>Normal</v>
      </c>
      <c r="W581" t="str">
        <f t="shared" si="47"/>
        <v>Potential Churn</v>
      </c>
      <c r="X581" t="str">
        <f t="shared" si="48"/>
        <v>Critical</v>
      </c>
      <c r="Y581">
        <f t="shared" si="49"/>
        <v>136</v>
      </c>
    </row>
    <row r="582" spans="1:25">
      <c r="A582" t="s">
        <v>48</v>
      </c>
      <c r="B582">
        <v>57</v>
      </c>
      <c r="C582">
        <v>415</v>
      </c>
      <c r="D582" t="s">
        <v>21</v>
      </c>
      <c r="E582" t="s">
        <v>21</v>
      </c>
      <c r="F582">
        <v>0</v>
      </c>
      <c r="G582">
        <v>161</v>
      </c>
      <c r="H582">
        <v>113</v>
      </c>
      <c r="I582">
        <v>27.37</v>
      </c>
      <c r="J582">
        <v>208</v>
      </c>
      <c r="K582">
        <v>134</v>
      </c>
      <c r="L582">
        <v>17.68</v>
      </c>
      <c r="M582">
        <v>208.1</v>
      </c>
      <c r="N582">
        <v>81</v>
      </c>
      <c r="O582">
        <v>9.36</v>
      </c>
      <c r="P582">
        <v>8.4</v>
      </c>
      <c r="Q582">
        <v>4</v>
      </c>
      <c r="R582">
        <v>2.27</v>
      </c>
      <c r="S582">
        <v>3</v>
      </c>
      <c r="T582" t="b">
        <v>0</v>
      </c>
      <c r="U582" t="str">
        <f t="shared" si="45"/>
        <v>Normal Usage</v>
      </c>
      <c r="V582" t="str">
        <f t="shared" si="46"/>
        <v>Normal</v>
      </c>
      <c r="W582" t="str">
        <f t="shared" si="47"/>
        <v>Stable</v>
      </c>
      <c r="X582" t="str">
        <f t="shared" si="48"/>
        <v>Medium</v>
      </c>
      <c r="Y582">
        <f t="shared" si="49"/>
        <v>57</v>
      </c>
    </row>
    <row r="583" spans="1:25">
      <c r="A583" t="s">
        <v>46</v>
      </c>
      <c r="B583">
        <v>112</v>
      </c>
      <c r="C583">
        <v>415</v>
      </c>
      <c r="D583" t="s">
        <v>21</v>
      </c>
      <c r="E583" t="s">
        <v>21</v>
      </c>
      <c r="F583">
        <v>0</v>
      </c>
      <c r="G583">
        <v>81.599999999999994</v>
      </c>
      <c r="H583">
        <v>94</v>
      </c>
      <c r="I583">
        <v>13.87</v>
      </c>
      <c r="J583">
        <v>268.10000000000002</v>
      </c>
      <c r="K583">
        <v>112</v>
      </c>
      <c r="L583">
        <v>22.79</v>
      </c>
      <c r="M583">
        <v>140.80000000000001</v>
      </c>
      <c r="N583">
        <v>75</v>
      </c>
      <c r="O583">
        <v>6.34</v>
      </c>
      <c r="P583">
        <v>8.6</v>
      </c>
      <c r="Q583">
        <v>18</v>
      </c>
      <c r="R583">
        <v>2.3199999999999998</v>
      </c>
      <c r="S583">
        <v>1</v>
      </c>
      <c r="T583" t="b">
        <v>0</v>
      </c>
      <c r="U583" t="str">
        <f t="shared" si="45"/>
        <v>Normal Usage</v>
      </c>
      <c r="V583" t="str">
        <f t="shared" si="46"/>
        <v>Normal</v>
      </c>
      <c r="W583" t="str">
        <f t="shared" si="47"/>
        <v>Stable</v>
      </c>
      <c r="X583" t="str">
        <f t="shared" si="48"/>
        <v>Low</v>
      </c>
      <c r="Y583">
        <f t="shared" si="49"/>
        <v>112</v>
      </c>
    </row>
    <row r="584" spans="1:25">
      <c r="A584" t="s">
        <v>53</v>
      </c>
      <c r="B584">
        <v>95</v>
      </c>
      <c r="C584">
        <v>408</v>
      </c>
      <c r="D584" t="s">
        <v>21</v>
      </c>
      <c r="E584" t="s">
        <v>21</v>
      </c>
      <c r="F584">
        <v>0</v>
      </c>
      <c r="G584">
        <v>128.6</v>
      </c>
      <c r="H584">
        <v>115</v>
      </c>
      <c r="I584">
        <v>21.86</v>
      </c>
      <c r="J584">
        <v>216.2</v>
      </c>
      <c r="K584">
        <v>88</v>
      </c>
      <c r="L584">
        <v>18.38</v>
      </c>
      <c r="M584">
        <v>255.3</v>
      </c>
      <c r="N584">
        <v>96</v>
      </c>
      <c r="O584">
        <v>11.49</v>
      </c>
      <c r="P584">
        <v>6.3</v>
      </c>
      <c r="Q584">
        <v>2</v>
      </c>
      <c r="R584">
        <v>1.7</v>
      </c>
      <c r="S584">
        <v>6</v>
      </c>
      <c r="T584" t="b">
        <v>1</v>
      </c>
      <c r="U584" t="str">
        <f t="shared" si="45"/>
        <v>Normal Usage</v>
      </c>
      <c r="V584" t="str">
        <f t="shared" si="46"/>
        <v>Normal</v>
      </c>
      <c r="W584" t="str">
        <f t="shared" si="47"/>
        <v>Potential Churn</v>
      </c>
      <c r="X584" t="str">
        <f t="shared" si="48"/>
        <v>Critical</v>
      </c>
      <c r="Y584">
        <f t="shared" si="49"/>
        <v>95</v>
      </c>
    </row>
    <row r="585" spans="1:25">
      <c r="A585" t="s">
        <v>29</v>
      </c>
      <c r="B585">
        <v>113</v>
      </c>
      <c r="C585">
        <v>415</v>
      </c>
      <c r="D585" t="s">
        <v>21</v>
      </c>
      <c r="E585" t="s">
        <v>27</v>
      </c>
      <c r="F585">
        <v>30</v>
      </c>
      <c r="G585">
        <v>183.8</v>
      </c>
      <c r="H585">
        <v>102</v>
      </c>
      <c r="I585">
        <v>31.25</v>
      </c>
      <c r="J585">
        <v>183.4</v>
      </c>
      <c r="K585">
        <v>123</v>
      </c>
      <c r="L585">
        <v>15.59</v>
      </c>
      <c r="M585">
        <v>235</v>
      </c>
      <c r="N585">
        <v>52</v>
      </c>
      <c r="O585">
        <v>10.58</v>
      </c>
      <c r="P585">
        <v>11.6</v>
      </c>
      <c r="Q585">
        <v>7</v>
      </c>
      <c r="R585">
        <v>3.13</v>
      </c>
      <c r="S585">
        <v>0</v>
      </c>
      <c r="T585" t="b">
        <v>0</v>
      </c>
      <c r="U585" t="str">
        <f t="shared" si="45"/>
        <v>Normal Usage</v>
      </c>
      <c r="V585" t="str">
        <f t="shared" si="46"/>
        <v>Normal</v>
      </c>
      <c r="W585" t="str">
        <f t="shared" si="47"/>
        <v>Stable</v>
      </c>
      <c r="X585" t="str">
        <f t="shared" si="48"/>
        <v>Low</v>
      </c>
      <c r="Y585">
        <f t="shared" si="49"/>
        <v>113</v>
      </c>
    </row>
    <row r="586" spans="1:25">
      <c r="A586" t="s">
        <v>31</v>
      </c>
      <c r="B586">
        <v>103</v>
      </c>
      <c r="C586">
        <v>415</v>
      </c>
      <c r="D586" t="s">
        <v>21</v>
      </c>
      <c r="E586" t="s">
        <v>21</v>
      </c>
      <c r="F586">
        <v>0</v>
      </c>
      <c r="G586">
        <v>180.2</v>
      </c>
      <c r="H586">
        <v>134</v>
      </c>
      <c r="I586">
        <v>30.63</v>
      </c>
      <c r="J586">
        <v>97.7</v>
      </c>
      <c r="K586">
        <v>85</v>
      </c>
      <c r="L586">
        <v>8.3000000000000007</v>
      </c>
      <c r="M586">
        <v>181.7</v>
      </c>
      <c r="N586">
        <v>134</v>
      </c>
      <c r="O586">
        <v>8.18</v>
      </c>
      <c r="P586">
        <v>8.4</v>
      </c>
      <c r="Q586">
        <v>3</v>
      </c>
      <c r="R586">
        <v>2.27</v>
      </c>
      <c r="S586">
        <v>1</v>
      </c>
      <c r="T586" t="b">
        <v>0</v>
      </c>
      <c r="U586" t="str">
        <f t="shared" si="45"/>
        <v>Normal Usage</v>
      </c>
      <c r="V586" t="str">
        <f t="shared" si="46"/>
        <v>Normal</v>
      </c>
      <c r="W586" t="str">
        <f t="shared" si="47"/>
        <v>Stable</v>
      </c>
      <c r="X586" t="str">
        <f t="shared" si="48"/>
        <v>Low</v>
      </c>
      <c r="Y586">
        <f t="shared" si="49"/>
        <v>103</v>
      </c>
    </row>
    <row r="587" spans="1:25">
      <c r="A587" t="s">
        <v>24</v>
      </c>
      <c r="B587">
        <v>149</v>
      </c>
      <c r="C587">
        <v>415</v>
      </c>
      <c r="D587" t="s">
        <v>21</v>
      </c>
      <c r="E587" t="s">
        <v>27</v>
      </c>
      <c r="F587">
        <v>20</v>
      </c>
      <c r="G587">
        <v>147.80000000000001</v>
      </c>
      <c r="H587">
        <v>132</v>
      </c>
      <c r="I587">
        <v>25.13</v>
      </c>
      <c r="J587">
        <v>276.8</v>
      </c>
      <c r="K587">
        <v>94</v>
      </c>
      <c r="L587">
        <v>23.53</v>
      </c>
      <c r="M587">
        <v>149.9</v>
      </c>
      <c r="N587">
        <v>110</v>
      </c>
      <c r="O587">
        <v>6.75</v>
      </c>
      <c r="P587">
        <v>10.199999999999999</v>
      </c>
      <c r="Q587">
        <v>6</v>
      </c>
      <c r="R587">
        <v>2.75</v>
      </c>
      <c r="S587">
        <v>0</v>
      </c>
      <c r="T587" t="b">
        <v>0</v>
      </c>
      <c r="U587" t="str">
        <f t="shared" si="45"/>
        <v>Normal Usage</v>
      </c>
      <c r="V587" t="str">
        <f t="shared" si="46"/>
        <v>Normal</v>
      </c>
      <c r="W587" t="str">
        <f t="shared" si="47"/>
        <v>Stable</v>
      </c>
      <c r="X587" t="str">
        <f t="shared" si="48"/>
        <v>Low</v>
      </c>
      <c r="Y587">
        <f t="shared" si="49"/>
        <v>149</v>
      </c>
    </row>
    <row r="588" spans="1:25">
      <c r="A588" t="s">
        <v>60</v>
      </c>
      <c r="B588">
        <v>116</v>
      </c>
      <c r="C588">
        <v>408</v>
      </c>
      <c r="D588" t="s">
        <v>21</v>
      </c>
      <c r="E588" t="s">
        <v>21</v>
      </c>
      <c r="F588">
        <v>0</v>
      </c>
      <c r="G588">
        <v>110.9</v>
      </c>
      <c r="H588">
        <v>54</v>
      </c>
      <c r="I588">
        <v>18.850000000000001</v>
      </c>
      <c r="J588">
        <v>213.4</v>
      </c>
      <c r="K588">
        <v>82</v>
      </c>
      <c r="L588">
        <v>18.14</v>
      </c>
      <c r="M588">
        <v>186.2</v>
      </c>
      <c r="N588">
        <v>116</v>
      </c>
      <c r="O588">
        <v>8.3800000000000008</v>
      </c>
      <c r="P588">
        <v>7.9</v>
      </c>
      <c r="Q588">
        <v>2</v>
      </c>
      <c r="R588">
        <v>2.13</v>
      </c>
      <c r="S588">
        <v>2</v>
      </c>
      <c r="T588" t="b">
        <v>0</v>
      </c>
      <c r="U588" t="str">
        <f t="shared" si="45"/>
        <v>Normal Usage</v>
      </c>
      <c r="V588" t="str">
        <f t="shared" si="46"/>
        <v>Normal</v>
      </c>
      <c r="W588" t="str">
        <f t="shared" si="47"/>
        <v>Stable</v>
      </c>
      <c r="X588" t="str">
        <f t="shared" si="48"/>
        <v>Low</v>
      </c>
      <c r="Y588">
        <f t="shared" si="49"/>
        <v>116</v>
      </c>
    </row>
    <row r="589" spans="1:25">
      <c r="A589" t="s">
        <v>41</v>
      </c>
      <c r="B589">
        <v>95</v>
      </c>
      <c r="C589">
        <v>510</v>
      </c>
      <c r="D589" t="s">
        <v>21</v>
      </c>
      <c r="E589" t="s">
        <v>21</v>
      </c>
      <c r="F589">
        <v>0</v>
      </c>
      <c r="G589">
        <v>58.2</v>
      </c>
      <c r="H589">
        <v>96</v>
      </c>
      <c r="I589">
        <v>9.89</v>
      </c>
      <c r="J589">
        <v>202.1</v>
      </c>
      <c r="K589">
        <v>126</v>
      </c>
      <c r="L589">
        <v>17.18</v>
      </c>
      <c r="M589">
        <v>210.5</v>
      </c>
      <c r="N589">
        <v>97</v>
      </c>
      <c r="O589">
        <v>9.4700000000000006</v>
      </c>
      <c r="P589">
        <v>10.4</v>
      </c>
      <c r="Q589">
        <v>5</v>
      </c>
      <c r="R589">
        <v>2.81</v>
      </c>
      <c r="S589">
        <v>0</v>
      </c>
      <c r="T589" t="b">
        <v>0</v>
      </c>
      <c r="U589" t="str">
        <f t="shared" si="45"/>
        <v>Normal Usage</v>
      </c>
      <c r="V589" t="str">
        <f t="shared" si="46"/>
        <v>Normal</v>
      </c>
      <c r="W589" t="str">
        <f t="shared" si="47"/>
        <v>Stable</v>
      </c>
      <c r="X589" t="str">
        <f t="shared" si="48"/>
        <v>Low</v>
      </c>
      <c r="Y589">
        <f t="shared" si="49"/>
        <v>95</v>
      </c>
    </row>
    <row r="590" spans="1:25">
      <c r="A590" t="s">
        <v>59</v>
      </c>
      <c r="B590">
        <v>201</v>
      </c>
      <c r="C590">
        <v>510</v>
      </c>
      <c r="D590" t="s">
        <v>21</v>
      </c>
      <c r="E590" t="s">
        <v>21</v>
      </c>
      <c r="F590">
        <v>0</v>
      </c>
      <c r="G590">
        <v>212.7</v>
      </c>
      <c r="H590">
        <v>72</v>
      </c>
      <c r="I590">
        <v>36.159999999999997</v>
      </c>
      <c r="J590">
        <v>225.2</v>
      </c>
      <c r="K590">
        <v>90</v>
      </c>
      <c r="L590">
        <v>19.14</v>
      </c>
      <c r="M590">
        <v>195.1</v>
      </c>
      <c r="N590">
        <v>99</v>
      </c>
      <c r="O590">
        <v>8.7799999999999994</v>
      </c>
      <c r="P590">
        <v>7</v>
      </c>
      <c r="Q590">
        <v>6</v>
      </c>
      <c r="R590">
        <v>1.89</v>
      </c>
      <c r="S590">
        <v>1</v>
      </c>
      <c r="T590" t="b">
        <v>0</v>
      </c>
      <c r="U590" t="str">
        <f t="shared" si="45"/>
        <v>High Usage</v>
      </c>
      <c r="V590" t="str">
        <f t="shared" si="46"/>
        <v>Normal</v>
      </c>
      <c r="W590" t="str">
        <f t="shared" si="47"/>
        <v>Stable</v>
      </c>
      <c r="X590" t="str">
        <f t="shared" si="48"/>
        <v>Low</v>
      </c>
      <c r="Y590">
        <f t="shared" si="49"/>
        <v>201</v>
      </c>
    </row>
    <row r="591" spans="1:25">
      <c r="A591" t="s">
        <v>25</v>
      </c>
      <c r="B591">
        <v>150</v>
      </c>
      <c r="C591">
        <v>415</v>
      </c>
      <c r="D591" t="s">
        <v>21</v>
      </c>
      <c r="E591" t="s">
        <v>21</v>
      </c>
      <c r="F591">
        <v>0</v>
      </c>
      <c r="G591">
        <v>214</v>
      </c>
      <c r="H591">
        <v>117</v>
      </c>
      <c r="I591">
        <v>36.380000000000003</v>
      </c>
      <c r="J591">
        <v>192.4</v>
      </c>
      <c r="K591">
        <v>89</v>
      </c>
      <c r="L591">
        <v>16.350000000000001</v>
      </c>
      <c r="M591">
        <v>242.6</v>
      </c>
      <c r="N591">
        <v>99</v>
      </c>
      <c r="O591">
        <v>10.92</v>
      </c>
      <c r="P591">
        <v>7.9</v>
      </c>
      <c r="Q591">
        <v>4</v>
      </c>
      <c r="R591">
        <v>2.13</v>
      </c>
      <c r="S591">
        <v>1</v>
      </c>
      <c r="T591" t="b">
        <v>0</v>
      </c>
      <c r="U591" t="str">
        <f t="shared" si="45"/>
        <v>High Usage</v>
      </c>
      <c r="V591" t="str">
        <f t="shared" si="46"/>
        <v>Normal</v>
      </c>
      <c r="W591" t="str">
        <f t="shared" si="47"/>
        <v>Stable</v>
      </c>
      <c r="X591" t="str">
        <f t="shared" si="48"/>
        <v>Low</v>
      </c>
      <c r="Y591">
        <f t="shared" si="49"/>
        <v>150</v>
      </c>
    </row>
    <row r="592" spans="1:25">
      <c r="A592" t="s">
        <v>28</v>
      </c>
      <c r="B592">
        <v>108</v>
      </c>
      <c r="C592">
        <v>408</v>
      </c>
      <c r="D592" t="s">
        <v>27</v>
      </c>
      <c r="E592" t="s">
        <v>21</v>
      </c>
      <c r="F592">
        <v>0</v>
      </c>
      <c r="G592">
        <v>115.1</v>
      </c>
      <c r="H592">
        <v>114</v>
      </c>
      <c r="I592">
        <v>19.57</v>
      </c>
      <c r="J592">
        <v>211.3</v>
      </c>
      <c r="K592">
        <v>70</v>
      </c>
      <c r="L592">
        <v>17.96</v>
      </c>
      <c r="M592">
        <v>136.1</v>
      </c>
      <c r="N592">
        <v>85</v>
      </c>
      <c r="O592">
        <v>6.12</v>
      </c>
      <c r="P592">
        <v>13.8</v>
      </c>
      <c r="Q592">
        <v>3</v>
      </c>
      <c r="R592">
        <v>3.73</v>
      </c>
      <c r="S592">
        <v>2</v>
      </c>
      <c r="T592" t="b">
        <v>1</v>
      </c>
      <c r="U592" t="str">
        <f t="shared" si="45"/>
        <v>Normal Usage</v>
      </c>
      <c r="V592" t="str">
        <f t="shared" si="46"/>
        <v>Normal</v>
      </c>
      <c r="W592" t="str">
        <f t="shared" si="47"/>
        <v>Stable</v>
      </c>
      <c r="X592" t="str">
        <f t="shared" si="48"/>
        <v>Low</v>
      </c>
      <c r="Y592">
        <f t="shared" si="49"/>
        <v>108</v>
      </c>
    </row>
    <row r="593" spans="1:25">
      <c r="A593" t="s">
        <v>43</v>
      </c>
      <c r="B593">
        <v>101</v>
      </c>
      <c r="C593">
        <v>415</v>
      </c>
      <c r="D593" t="s">
        <v>27</v>
      </c>
      <c r="E593" t="s">
        <v>21</v>
      </c>
      <c r="F593">
        <v>0</v>
      </c>
      <c r="G593">
        <v>156.4</v>
      </c>
      <c r="H593">
        <v>116</v>
      </c>
      <c r="I593">
        <v>26.59</v>
      </c>
      <c r="J593">
        <v>130.4</v>
      </c>
      <c r="K593">
        <v>114</v>
      </c>
      <c r="L593">
        <v>11.08</v>
      </c>
      <c r="M593">
        <v>207.3</v>
      </c>
      <c r="N593">
        <v>109</v>
      </c>
      <c r="O593">
        <v>9.33</v>
      </c>
      <c r="P593">
        <v>7.3</v>
      </c>
      <c r="Q593">
        <v>5</v>
      </c>
      <c r="R593">
        <v>1.97</v>
      </c>
      <c r="S593">
        <v>1</v>
      </c>
      <c r="T593" t="b">
        <v>0</v>
      </c>
      <c r="U593" t="str">
        <f t="shared" si="45"/>
        <v>Normal Usage</v>
      </c>
      <c r="V593" t="str">
        <f t="shared" si="46"/>
        <v>Normal</v>
      </c>
      <c r="W593" t="str">
        <f t="shared" si="47"/>
        <v>Stable</v>
      </c>
      <c r="X593" t="str">
        <f t="shared" si="48"/>
        <v>Low</v>
      </c>
      <c r="Y593">
        <f t="shared" si="49"/>
        <v>101</v>
      </c>
    </row>
    <row r="594" spans="1:25">
      <c r="A594" t="s">
        <v>44</v>
      </c>
      <c r="B594">
        <v>182</v>
      </c>
      <c r="C594">
        <v>415</v>
      </c>
      <c r="D594" t="s">
        <v>21</v>
      </c>
      <c r="E594" t="s">
        <v>27</v>
      </c>
      <c r="F594">
        <v>24</v>
      </c>
      <c r="G594">
        <v>128.1</v>
      </c>
      <c r="H594">
        <v>104</v>
      </c>
      <c r="I594">
        <v>21.78</v>
      </c>
      <c r="J594">
        <v>143.4</v>
      </c>
      <c r="K594">
        <v>127</v>
      </c>
      <c r="L594">
        <v>12.19</v>
      </c>
      <c r="M594">
        <v>191</v>
      </c>
      <c r="N594">
        <v>98</v>
      </c>
      <c r="O594">
        <v>8.59</v>
      </c>
      <c r="P594">
        <v>11.6</v>
      </c>
      <c r="Q594">
        <v>3</v>
      </c>
      <c r="R594">
        <v>3.13</v>
      </c>
      <c r="S594">
        <v>1</v>
      </c>
      <c r="T594" t="b">
        <v>0</v>
      </c>
      <c r="U594" t="str">
        <f t="shared" si="45"/>
        <v>Normal Usage</v>
      </c>
      <c r="V594" t="str">
        <f t="shared" si="46"/>
        <v>Normal</v>
      </c>
      <c r="W594" t="str">
        <f t="shared" si="47"/>
        <v>Stable</v>
      </c>
      <c r="X594" t="str">
        <f t="shared" si="48"/>
        <v>Low</v>
      </c>
      <c r="Y594">
        <f t="shared" si="49"/>
        <v>182</v>
      </c>
    </row>
    <row r="595" spans="1:25">
      <c r="A595" t="s">
        <v>33</v>
      </c>
      <c r="B595">
        <v>128</v>
      </c>
      <c r="C595">
        <v>408</v>
      </c>
      <c r="D595" t="s">
        <v>21</v>
      </c>
      <c r="E595" t="s">
        <v>21</v>
      </c>
      <c r="F595">
        <v>0</v>
      </c>
      <c r="G595">
        <v>227.9</v>
      </c>
      <c r="H595">
        <v>130</v>
      </c>
      <c r="I595">
        <v>38.74</v>
      </c>
      <c r="J595">
        <v>302.60000000000002</v>
      </c>
      <c r="K595">
        <v>71</v>
      </c>
      <c r="L595">
        <v>25.72</v>
      </c>
      <c r="M595">
        <v>191.5</v>
      </c>
      <c r="N595">
        <v>82</v>
      </c>
      <c r="O595">
        <v>8.6199999999999992</v>
      </c>
      <c r="P595">
        <v>5.5</v>
      </c>
      <c r="Q595">
        <v>7</v>
      </c>
      <c r="R595">
        <v>1.49</v>
      </c>
      <c r="S595">
        <v>1</v>
      </c>
      <c r="T595" t="b">
        <v>1</v>
      </c>
      <c r="U595" t="str">
        <f t="shared" si="45"/>
        <v>High Usage</v>
      </c>
      <c r="V595" t="str">
        <f t="shared" si="46"/>
        <v>Normal</v>
      </c>
      <c r="W595" t="str">
        <f t="shared" si="47"/>
        <v>Stable</v>
      </c>
      <c r="X595" t="str">
        <f t="shared" si="48"/>
        <v>Low</v>
      </c>
      <c r="Y595">
        <f t="shared" si="49"/>
        <v>128</v>
      </c>
    </row>
    <row r="596" spans="1:25">
      <c r="A596" t="s">
        <v>30</v>
      </c>
      <c r="B596">
        <v>113</v>
      </c>
      <c r="C596">
        <v>408</v>
      </c>
      <c r="D596" t="s">
        <v>21</v>
      </c>
      <c r="E596" t="s">
        <v>27</v>
      </c>
      <c r="F596">
        <v>34</v>
      </c>
      <c r="G596">
        <v>44.9</v>
      </c>
      <c r="H596">
        <v>63</v>
      </c>
      <c r="I596">
        <v>7.63</v>
      </c>
      <c r="J596">
        <v>134.19999999999999</v>
      </c>
      <c r="K596">
        <v>82</v>
      </c>
      <c r="L596">
        <v>11.41</v>
      </c>
      <c r="M596">
        <v>168.4</v>
      </c>
      <c r="N596">
        <v>118</v>
      </c>
      <c r="O596">
        <v>7.58</v>
      </c>
      <c r="P596">
        <v>13.3</v>
      </c>
      <c r="Q596">
        <v>3</v>
      </c>
      <c r="R596">
        <v>3.59</v>
      </c>
      <c r="S596">
        <v>1</v>
      </c>
      <c r="T596" t="b">
        <v>0</v>
      </c>
      <c r="U596" t="str">
        <f t="shared" si="45"/>
        <v>Normal Usage</v>
      </c>
      <c r="V596" t="str">
        <f t="shared" si="46"/>
        <v>Normal</v>
      </c>
      <c r="W596" t="str">
        <f t="shared" si="47"/>
        <v>Stable</v>
      </c>
      <c r="X596" t="str">
        <f t="shared" si="48"/>
        <v>Low</v>
      </c>
      <c r="Y596">
        <f t="shared" si="49"/>
        <v>113</v>
      </c>
    </row>
    <row r="597" spans="1:25">
      <c r="A597" t="s">
        <v>57</v>
      </c>
      <c r="B597">
        <v>76</v>
      </c>
      <c r="C597">
        <v>415</v>
      </c>
      <c r="D597" t="s">
        <v>21</v>
      </c>
      <c r="E597" t="s">
        <v>21</v>
      </c>
      <c r="F597">
        <v>0</v>
      </c>
      <c r="G597">
        <v>171.1</v>
      </c>
      <c r="H597">
        <v>78</v>
      </c>
      <c r="I597">
        <v>29.09</v>
      </c>
      <c r="J597">
        <v>257.2</v>
      </c>
      <c r="K597">
        <v>83</v>
      </c>
      <c r="L597">
        <v>21.86</v>
      </c>
      <c r="M597">
        <v>91.6</v>
      </c>
      <c r="N597">
        <v>92</v>
      </c>
      <c r="O597">
        <v>4.12</v>
      </c>
      <c r="P597">
        <v>16.2</v>
      </c>
      <c r="Q597">
        <v>3</v>
      </c>
      <c r="R597">
        <v>4.37</v>
      </c>
      <c r="S597">
        <v>1</v>
      </c>
      <c r="T597" t="b">
        <v>0</v>
      </c>
      <c r="U597" t="str">
        <f t="shared" si="45"/>
        <v>Normal Usage</v>
      </c>
      <c r="V597" t="str">
        <f t="shared" si="46"/>
        <v>Normal</v>
      </c>
      <c r="W597" t="str">
        <f t="shared" si="47"/>
        <v>Stable</v>
      </c>
      <c r="X597" t="str">
        <f t="shared" si="48"/>
        <v>Low</v>
      </c>
      <c r="Y597">
        <f t="shared" si="49"/>
        <v>76</v>
      </c>
    </row>
    <row r="598" spans="1:25">
      <c r="A598" t="s">
        <v>65</v>
      </c>
      <c r="B598">
        <v>204</v>
      </c>
      <c r="C598">
        <v>510</v>
      </c>
      <c r="D598" t="s">
        <v>21</v>
      </c>
      <c r="E598" t="s">
        <v>21</v>
      </c>
      <c r="F598">
        <v>0</v>
      </c>
      <c r="G598">
        <v>205.2</v>
      </c>
      <c r="H598">
        <v>145</v>
      </c>
      <c r="I598">
        <v>34.880000000000003</v>
      </c>
      <c r="J598">
        <v>154.80000000000001</v>
      </c>
      <c r="K598">
        <v>95</v>
      </c>
      <c r="L598">
        <v>13.16</v>
      </c>
      <c r="M598">
        <v>191.4</v>
      </c>
      <c r="N598">
        <v>77</v>
      </c>
      <c r="O598">
        <v>8.61</v>
      </c>
      <c r="P598">
        <v>14.1</v>
      </c>
      <c r="Q598">
        <v>5</v>
      </c>
      <c r="R598">
        <v>3.81</v>
      </c>
      <c r="S598">
        <v>3</v>
      </c>
      <c r="T598" t="b">
        <v>0</v>
      </c>
      <c r="U598" t="str">
        <f t="shared" si="45"/>
        <v>High Usage</v>
      </c>
      <c r="V598" t="str">
        <f t="shared" si="46"/>
        <v>Normal</v>
      </c>
      <c r="W598" t="str">
        <f t="shared" si="47"/>
        <v>Stable</v>
      </c>
      <c r="X598" t="str">
        <f t="shared" si="48"/>
        <v>Medium</v>
      </c>
      <c r="Y598">
        <f t="shared" si="49"/>
        <v>204</v>
      </c>
    </row>
    <row r="599" spans="1:25">
      <c r="A599" t="s">
        <v>42</v>
      </c>
      <c r="B599">
        <v>32</v>
      </c>
      <c r="C599">
        <v>415</v>
      </c>
      <c r="D599" t="s">
        <v>21</v>
      </c>
      <c r="E599" t="s">
        <v>27</v>
      </c>
      <c r="F599">
        <v>31</v>
      </c>
      <c r="G599">
        <v>232.8</v>
      </c>
      <c r="H599">
        <v>97</v>
      </c>
      <c r="I599">
        <v>39.58</v>
      </c>
      <c r="J599">
        <v>183.5</v>
      </c>
      <c r="K599">
        <v>111</v>
      </c>
      <c r="L599">
        <v>15.6</v>
      </c>
      <c r="M599">
        <v>206.8</v>
      </c>
      <c r="N599">
        <v>111</v>
      </c>
      <c r="O599">
        <v>9.31</v>
      </c>
      <c r="P599">
        <v>13</v>
      </c>
      <c r="Q599">
        <v>2</v>
      </c>
      <c r="R599">
        <v>3.51</v>
      </c>
      <c r="S599">
        <v>0</v>
      </c>
      <c r="T599" t="b">
        <v>0</v>
      </c>
      <c r="U599" t="str">
        <f t="shared" si="45"/>
        <v>High Usage</v>
      </c>
      <c r="V599" t="str">
        <f t="shared" si="46"/>
        <v>Normal</v>
      </c>
      <c r="W599" t="str">
        <f t="shared" si="47"/>
        <v>Stable</v>
      </c>
      <c r="X599" t="str">
        <f t="shared" si="48"/>
        <v>Low</v>
      </c>
      <c r="Y599">
        <f t="shared" si="49"/>
        <v>32</v>
      </c>
    </row>
    <row r="600" spans="1:25">
      <c r="A600" t="s">
        <v>37</v>
      </c>
      <c r="B600">
        <v>103</v>
      </c>
      <c r="C600">
        <v>415</v>
      </c>
      <c r="D600" t="s">
        <v>21</v>
      </c>
      <c r="E600" t="s">
        <v>27</v>
      </c>
      <c r="F600">
        <v>37</v>
      </c>
      <c r="G600">
        <v>153.5</v>
      </c>
      <c r="H600">
        <v>78</v>
      </c>
      <c r="I600">
        <v>26.1</v>
      </c>
      <c r="J600">
        <v>241.9</v>
      </c>
      <c r="K600">
        <v>108</v>
      </c>
      <c r="L600">
        <v>20.56</v>
      </c>
      <c r="M600">
        <v>244.7</v>
      </c>
      <c r="N600">
        <v>110</v>
      </c>
      <c r="O600">
        <v>11.01</v>
      </c>
      <c r="P600">
        <v>10.6</v>
      </c>
      <c r="Q600">
        <v>3</v>
      </c>
      <c r="R600">
        <v>2.86</v>
      </c>
      <c r="S600">
        <v>1</v>
      </c>
      <c r="T600" t="b">
        <v>0</v>
      </c>
      <c r="U600" t="str">
        <f t="shared" si="45"/>
        <v>Normal Usage</v>
      </c>
      <c r="V600" t="str">
        <f t="shared" si="46"/>
        <v>Normal</v>
      </c>
      <c r="W600" t="str">
        <f t="shared" si="47"/>
        <v>Stable</v>
      </c>
      <c r="X600" t="str">
        <f t="shared" si="48"/>
        <v>Low</v>
      </c>
      <c r="Y600">
        <f t="shared" si="49"/>
        <v>103</v>
      </c>
    </row>
    <row r="601" spans="1:25">
      <c r="A601" t="s">
        <v>59</v>
      </c>
      <c r="B601">
        <v>148</v>
      </c>
      <c r="C601">
        <v>510</v>
      </c>
      <c r="D601" t="s">
        <v>21</v>
      </c>
      <c r="E601" t="s">
        <v>21</v>
      </c>
      <c r="F601">
        <v>0</v>
      </c>
      <c r="G601">
        <v>203</v>
      </c>
      <c r="H601">
        <v>92</v>
      </c>
      <c r="I601">
        <v>34.51</v>
      </c>
      <c r="J601">
        <v>150.9</v>
      </c>
      <c r="K601">
        <v>125</v>
      </c>
      <c r="L601">
        <v>12.83</v>
      </c>
      <c r="M601">
        <v>245.5</v>
      </c>
      <c r="N601">
        <v>131</v>
      </c>
      <c r="O601">
        <v>11.05</v>
      </c>
      <c r="P601">
        <v>14.6</v>
      </c>
      <c r="Q601">
        <v>9</v>
      </c>
      <c r="R601">
        <v>3.94</v>
      </c>
      <c r="S601">
        <v>1</v>
      </c>
      <c r="T601" t="b">
        <v>0</v>
      </c>
      <c r="U601" t="str">
        <f t="shared" si="45"/>
        <v>High Usage</v>
      </c>
      <c r="V601" t="str">
        <f t="shared" si="46"/>
        <v>Normal</v>
      </c>
      <c r="W601" t="str">
        <f t="shared" si="47"/>
        <v>Stable</v>
      </c>
      <c r="X601" t="str">
        <f t="shared" si="48"/>
        <v>Low</v>
      </c>
      <c r="Y601">
        <f t="shared" si="49"/>
        <v>148</v>
      </c>
    </row>
    <row r="602" spans="1:25">
      <c r="A602" t="s">
        <v>37</v>
      </c>
      <c r="B602">
        <v>57</v>
      </c>
      <c r="C602">
        <v>415</v>
      </c>
      <c r="D602" t="s">
        <v>21</v>
      </c>
      <c r="E602" t="s">
        <v>21</v>
      </c>
      <c r="F602">
        <v>0</v>
      </c>
      <c r="G602">
        <v>85.9</v>
      </c>
      <c r="H602">
        <v>92</v>
      </c>
      <c r="I602">
        <v>14.6</v>
      </c>
      <c r="J602">
        <v>193.9</v>
      </c>
      <c r="K602">
        <v>127</v>
      </c>
      <c r="L602">
        <v>16.48</v>
      </c>
      <c r="M602">
        <v>231.5</v>
      </c>
      <c r="N602">
        <v>93</v>
      </c>
      <c r="O602">
        <v>10.42</v>
      </c>
      <c r="P602">
        <v>10.1</v>
      </c>
      <c r="Q602">
        <v>2</v>
      </c>
      <c r="R602">
        <v>2.73</v>
      </c>
      <c r="S602">
        <v>0</v>
      </c>
      <c r="T602" t="b">
        <v>0</v>
      </c>
      <c r="U602" t="str">
        <f t="shared" si="45"/>
        <v>Normal Usage</v>
      </c>
      <c r="V602" t="str">
        <f t="shared" si="46"/>
        <v>Normal</v>
      </c>
      <c r="W602" t="str">
        <f t="shared" si="47"/>
        <v>Stable</v>
      </c>
      <c r="X602" t="str">
        <f t="shared" si="48"/>
        <v>Low</v>
      </c>
      <c r="Y602">
        <f t="shared" si="49"/>
        <v>57</v>
      </c>
    </row>
    <row r="603" spans="1:25">
      <c r="A603" t="s">
        <v>36</v>
      </c>
      <c r="B603">
        <v>64</v>
      </c>
      <c r="C603">
        <v>415</v>
      </c>
      <c r="D603" t="s">
        <v>27</v>
      </c>
      <c r="E603" t="s">
        <v>21</v>
      </c>
      <c r="F603">
        <v>0</v>
      </c>
      <c r="G603">
        <v>146.69999999999999</v>
      </c>
      <c r="H603">
        <v>83</v>
      </c>
      <c r="I603">
        <v>24.94</v>
      </c>
      <c r="J603">
        <v>148.30000000000001</v>
      </c>
      <c r="K603">
        <v>91</v>
      </c>
      <c r="L603">
        <v>12.61</v>
      </c>
      <c r="M603">
        <v>238.6</v>
      </c>
      <c r="N603">
        <v>69</v>
      </c>
      <c r="O603">
        <v>10.74</v>
      </c>
      <c r="P603">
        <v>12.5</v>
      </c>
      <c r="Q603">
        <v>3</v>
      </c>
      <c r="R603">
        <v>3.38</v>
      </c>
      <c r="S603">
        <v>3</v>
      </c>
      <c r="T603" t="b">
        <v>0</v>
      </c>
      <c r="U603" t="str">
        <f t="shared" si="45"/>
        <v>Normal Usage</v>
      </c>
      <c r="V603" t="str">
        <f t="shared" si="46"/>
        <v>Normal</v>
      </c>
      <c r="W603" t="str">
        <f t="shared" si="47"/>
        <v>Stable</v>
      </c>
      <c r="X603" t="str">
        <f t="shared" si="48"/>
        <v>Medium</v>
      </c>
      <c r="Y603">
        <f t="shared" si="49"/>
        <v>64</v>
      </c>
    </row>
    <row r="604" spans="1:25">
      <c r="A604" t="s">
        <v>61</v>
      </c>
      <c r="B604">
        <v>70</v>
      </c>
      <c r="C604">
        <v>415</v>
      </c>
      <c r="D604" t="s">
        <v>21</v>
      </c>
      <c r="E604" t="s">
        <v>21</v>
      </c>
      <c r="F604">
        <v>0</v>
      </c>
      <c r="G604">
        <v>152.80000000000001</v>
      </c>
      <c r="H604">
        <v>145</v>
      </c>
      <c r="I604">
        <v>25.98</v>
      </c>
      <c r="J604">
        <v>183.6</v>
      </c>
      <c r="K604">
        <v>102</v>
      </c>
      <c r="L604">
        <v>15.61</v>
      </c>
      <c r="M604">
        <v>151.80000000000001</v>
      </c>
      <c r="N604">
        <v>75</v>
      </c>
      <c r="O604">
        <v>6.83</v>
      </c>
      <c r="P604">
        <v>10.5</v>
      </c>
      <c r="Q604">
        <v>2</v>
      </c>
      <c r="R604">
        <v>2.84</v>
      </c>
      <c r="S604">
        <v>1</v>
      </c>
      <c r="T604" t="b">
        <v>0</v>
      </c>
      <c r="U604" t="str">
        <f t="shared" si="45"/>
        <v>Normal Usage</v>
      </c>
      <c r="V604" t="str">
        <f t="shared" si="46"/>
        <v>Normal</v>
      </c>
      <c r="W604" t="str">
        <f t="shared" si="47"/>
        <v>Stable</v>
      </c>
      <c r="X604" t="str">
        <f t="shared" si="48"/>
        <v>Low</v>
      </c>
      <c r="Y604">
        <f t="shared" si="49"/>
        <v>70</v>
      </c>
    </row>
    <row r="605" spans="1:25">
      <c r="A605" t="s">
        <v>35</v>
      </c>
      <c r="B605">
        <v>142</v>
      </c>
      <c r="C605">
        <v>408</v>
      </c>
      <c r="D605" t="s">
        <v>21</v>
      </c>
      <c r="E605" t="s">
        <v>21</v>
      </c>
      <c r="F605">
        <v>0</v>
      </c>
      <c r="G605">
        <v>216.8</v>
      </c>
      <c r="H605">
        <v>134</v>
      </c>
      <c r="I605">
        <v>36.86</v>
      </c>
      <c r="J605">
        <v>187.8</v>
      </c>
      <c r="K605">
        <v>106</v>
      </c>
      <c r="L605">
        <v>15.96</v>
      </c>
      <c r="M605">
        <v>138.1</v>
      </c>
      <c r="N605">
        <v>108</v>
      </c>
      <c r="O605">
        <v>6.21</v>
      </c>
      <c r="P605">
        <v>8.3000000000000007</v>
      </c>
      <c r="Q605">
        <v>2</v>
      </c>
      <c r="R605">
        <v>2.2400000000000002</v>
      </c>
      <c r="S605">
        <v>0</v>
      </c>
      <c r="T605" t="b">
        <v>0</v>
      </c>
      <c r="U605" t="str">
        <f t="shared" si="45"/>
        <v>High Usage</v>
      </c>
      <c r="V605" t="str">
        <f t="shared" si="46"/>
        <v>Normal</v>
      </c>
      <c r="W605" t="str">
        <f t="shared" si="47"/>
        <v>Stable</v>
      </c>
      <c r="X605" t="str">
        <f t="shared" si="48"/>
        <v>Low</v>
      </c>
      <c r="Y605">
        <f t="shared" si="49"/>
        <v>142</v>
      </c>
    </row>
    <row r="606" spans="1:25">
      <c r="A606" t="s">
        <v>38</v>
      </c>
      <c r="B606">
        <v>88</v>
      </c>
      <c r="C606">
        <v>415</v>
      </c>
      <c r="D606" t="s">
        <v>21</v>
      </c>
      <c r="E606" t="s">
        <v>21</v>
      </c>
      <c r="F606">
        <v>0</v>
      </c>
      <c r="G606">
        <v>172.8</v>
      </c>
      <c r="H606">
        <v>81</v>
      </c>
      <c r="I606">
        <v>29.38</v>
      </c>
      <c r="J606">
        <v>193.4</v>
      </c>
      <c r="K606">
        <v>90</v>
      </c>
      <c r="L606">
        <v>16.440000000000001</v>
      </c>
      <c r="M606">
        <v>89.6</v>
      </c>
      <c r="N606">
        <v>107</v>
      </c>
      <c r="O606">
        <v>4.03</v>
      </c>
      <c r="P606">
        <v>12.8</v>
      </c>
      <c r="Q606">
        <v>5</v>
      </c>
      <c r="R606">
        <v>3.46</v>
      </c>
      <c r="S606">
        <v>2</v>
      </c>
      <c r="T606" t="b">
        <v>0</v>
      </c>
      <c r="U606" t="str">
        <f t="shared" si="45"/>
        <v>Normal Usage</v>
      </c>
      <c r="V606" t="str">
        <f t="shared" si="46"/>
        <v>Normal</v>
      </c>
      <c r="W606" t="str">
        <f t="shared" si="47"/>
        <v>Stable</v>
      </c>
      <c r="X606" t="str">
        <f t="shared" si="48"/>
        <v>Low</v>
      </c>
      <c r="Y606">
        <f t="shared" si="49"/>
        <v>88</v>
      </c>
    </row>
    <row r="607" spans="1:25">
      <c r="A607" t="s">
        <v>63</v>
      </c>
      <c r="B607">
        <v>131</v>
      </c>
      <c r="C607">
        <v>510</v>
      </c>
      <c r="D607" t="s">
        <v>21</v>
      </c>
      <c r="E607" t="s">
        <v>21</v>
      </c>
      <c r="F607">
        <v>0</v>
      </c>
      <c r="G607">
        <v>263.39999999999998</v>
      </c>
      <c r="H607">
        <v>123</v>
      </c>
      <c r="I607">
        <v>44.78</v>
      </c>
      <c r="J607">
        <v>151.9</v>
      </c>
      <c r="K607">
        <v>74</v>
      </c>
      <c r="L607">
        <v>12.91</v>
      </c>
      <c r="M607">
        <v>218.5</v>
      </c>
      <c r="N607">
        <v>101</v>
      </c>
      <c r="O607">
        <v>9.83</v>
      </c>
      <c r="P607">
        <v>10.7</v>
      </c>
      <c r="Q607">
        <v>2</v>
      </c>
      <c r="R607">
        <v>2.89</v>
      </c>
      <c r="S607">
        <v>2</v>
      </c>
      <c r="T607" t="b">
        <v>0</v>
      </c>
      <c r="U607" t="str">
        <f t="shared" si="45"/>
        <v>High Usage</v>
      </c>
      <c r="V607" t="str">
        <f t="shared" si="46"/>
        <v>Normal</v>
      </c>
      <c r="W607" t="str">
        <f t="shared" si="47"/>
        <v>Potential Churn</v>
      </c>
      <c r="X607" t="str">
        <f t="shared" si="48"/>
        <v>Low</v>
      </c>
      <c r="Y607">
        <f t="shared" si="49"/>
        <v>131</v>
      </c>
    </row>
    <row r="608" spans="1:25">
      <c r="A608" t="s">
        <v>37</v>
      </c>
      <c r="B608">
        <v>130</v>
      </c>
      <c r="C608">
        <v>408</v>
      </c>
      <c r="D608" t="s">
        <v>21</v>
      </c>
      <c r="E608" t="s">
        <v>21</v>
      </c>
      <c r="F608">
        <v>0</v>
      </c>
      <c r="G608">
        <v>271.8</v>
      </c>
      <c r="H608">
        <v>129</v>
      </c>
      <c r="I608">
        <v>46.21</v>
      </c>
      <c r="J608">
        <v>237.2</v>
      </c>
      <c r="K608">
        <v>128</v>
      </c>
      <c r="L608">
        <v>20.16</v>
      </c>
      <c r="M608">
        <v>210.1</v>
      </c>
      <c r="N608">
        <v>91</v>
      </c>
      <c r="O608">
        <v>9.4499999999999993</v>
      </c>
      <c r="P608">
        <v>8.6999999999999993</v>
      </c>
      <c r="Q608">
        <v>2</v>
      </c>
      <c r="R608">
        <v>2.35</v>
      </c>
      <c r="S608">
        <v>4</v>
      </c>
      <c r="T608" t="b">
        <v>1</v>
      </c>
      <c r="U608" t="str">
        <f t="shared" si="45"/>
        <v>High Usage</v>
      </c>
      <c r="V608" t="str">
        <f t="shared" si="46"/>
        <v>Normal</v>
      </c>
      <c r="W608" t="str">
        <f t="shared" si="47"/>
        <v>Potential Churn</v>
      </c>
      <c r="X608" t="str">
        <f t="shared" si="48"/>
        <v>Medium</v>
      </c>
      <c r="Y608">
        <f t="shared" si="49"/>
        <v>130</v>
      </c>
    </row>
    <row r="609" spans="1:25">
      <c r="A609" t="s">
        <v>47</v>
      </c>
      <c r="B609">
        <v>166</v>
      </c>
      <c r="C609">
        <v>510</v>
      </c>
      <c r="D609" t="s">
        <v>21</v>
      </c>
      <c r="E609" t="s">
        <v>21</v>
      </c>
      <c r="F609">
        <v>0</v>
      </c>
      <c r="G609">
        <v>199.6</v>
      </c>
      <c r="H609">
        <v>93</v>
      </c>
      <c r="I609">
        <v>33.93</v>
      </c>
      <c r="J609">
        <v>214.3</v>
      </c>
      <c r="K609">
        <v>99</v>
      </c>
      <c r="L609">
        <v>18.22</v>
      </c>
      <c r="M609">
        <v>196.8</v>
      </c>
      <c r="N609">
        <v>110</v>
      </c>
      <c r="O609">
        <v>8.86</v>
      </c>
      <c r="P609">
        <v>7.2</v>
      </c>
      <c r="Q609">
        <v>5</v>
      </c>
      <c r="R609">
        <v>1.94</v>
      </c>
      <c r="S609">
        <v>3</v>
      </c>
      <c r="T609" t="b">
        <v>0</v>
      </c>
      <c r="U609" t="str">
        <f t="shared" si="45"/>
        <v>Normal Usage</v>
      </c>
      <c r="V609" t="str">
        <f t="shared" si="46"/>
        <v>Normal</v>
      </c>
      <c r="W609" t="str">
        <f t="shared" si="47"/>
        <v>Stable</v>
      </c>
      <c r="X609" t="str">
        <f t="shared" si="48"/>
        <v>Medium</v>
      </c>
      <c r="Y609">
        <f t="shared" si="49"/>
        <v>166</v>
      </c>
    </row>
    <row r="610" spans="1:25">
      <c r="A610" t="s">
        <v>49</v>
      </c>
      <c r="B610">
        <v>130</v>
      </c>
      <c r="C610">
        <v>510</v>
      </c>
      <c r="D610" t="s">
        <v>21</v>
      </c>
      <c r="E610" t="s">
        <v>21</v>
      </c>
      <c r="F610">
        <v>0</v>
      </c>
      <c r="G610">
        <v>203.9</v>
      </c>
      <c r="H610">
        <v>63</v>
      </c>
      <c r="I610">
        <v>34.659999999999997</v>
      </c>
      <c r="J610">
        <v>191.8</v>
      </c>
      <c r="K610">
        <v>93</v>
      </c>
      <c r="L610">
        <v>16.3</v>
      </c>
      <c r="M610">
        <v>132.5</v>
      </c>
      <c r="N610">
        <v>125</v>
      </c>
      <c r="O610">
        <v>5.96</v>
      </c>
      <c r="P610">
        <v>12.1</v>
      </c>
      <c r="Q610">
        <v>4</v>
      </c>
      <c r="R610">
        <v>3.27</v>
      </c>
      <c r="S610">
        <v>3</v>
      </c>
      <c r="T610" t="b">
        <v>0</v>
      </c>
      <c r="U610" t="str">
        <f t="shared" si="45"/>
        <v>High Usage</v>
      </c>
      <c r="V610" t="str">
        <f t="shared" si="46"/>
        <v>Normal</v>
      </c>
      <c r="W610" t="str">
        <f t="shared" si="47"/>
        <v>Stable</v>
      </c>
      <c r="X610" t="str">
        <f t="shared" si="48"/>
        <v>Medium</v>
      </c>
      <c r="Y610">
        <f t="shared" si="49"/>
        <v>130</v>
      </c>
    </row>
    <row r="611" spans="1:25">
      <c r="A611" t="s">
        <v>24</v>
      </c>
      <c r="B611">
        <v>111</v>
      </c>
      <c r="C611">
        <v>510</v>
      </c>
      <c r="D611" t="s">
        <v>21</v>
      </c>
      <c r="E611" t="s">
        <v>21</v>
      </c>
      <c r="F611">
        <v>0</v>
      </c>
      <c r="G611">
        <v>78.3</v>
      </c>
      <c r="H611">
        <v>119</v>
      </c>
      <c r="I611">
        <v>13.31</v>
      </c>
      <c r="J611">
        <v>198.2</v>
      </c>
      <c r="K611">
        <v>94</v>
      </c>
      <c r="L611">
        <v>16.850000000000001</v>
      </c>
      <c r="M611">
        <v>248.5</v>
      </c>
      <c r="N611">
        <v>94</v>
      </c>
      <c r="O611">
        <v>11.18</v>
      </c>
      <c r="P611">
        <v>12.1</v>
      </c>
      <c r="Q611">
        <v>4</v>
      </c>
      <c r="R611">
        <v>3.27</v>
      </c>
      <c r="S611">
        <v>1</v>
      </c>
      <c r="T611" t="b">
        <v>0</v>
      </c>
      <c r="U611" t="str">
        <f t="shared" si="45"/>
        <v>Normal Usage</v>
      </c>
      <c r="V611" t="str">
        <f t="shared" si="46"/>
        <v>Normal</v>
      </c>
      <c r="W611" t="str">
        <f t="shared" si="47"/>
        <v>Stable</v>
      </c>
      <c r="X611" t="str">
        <f t="shared" si="48"/>
        <v>Low</v>
      </c>
      <c r="Y611">
        <f t="shared" si="49"/>
        <v>111</v>
      </c>
    </row>
    <row r="612" spans="1:25">
      <c r="A612" t="s">
        <v>22</v>
      </c>
      <c r="B612">
        <v>100</v>
      </c>
      <c r="C612">
        <v>415</v>
      </c>
      <c r="D612" t="s">
        <v>21</v>
      </c>
      <c r="E612" t="s">
        <v>27</v>
      </c>
      <c r="F612">
        <v>32</v>
      </c>
      <c r="G612">
        <v>125.2</v>
      </c>
      <c r="H612">
        <v>123</v>
      </c>
      <c r="I612">
        <v>21.28</v>
      </c>
      <c r="J612">
        <v>230.9</v>
      </c>
      <c r="K612">
        <v>101</v>
      </c>
      <c r="L612">
        <v>19.63</v>
      </c>
      <c r="M612">
        <v>192</v>
      </c>
      <c r="N612">
        <v>106</v>
      </c>
      <c r="O612">
        <v>8.64</v>
      </c>
      <c r="P612">
        <v>12.6</v>
      </c>
      <c r="Q612">
        <v>9</v>
      </c>
      <c r="R612">
        <v>3.4</v>
      </c>
      <c r="S612">
        <v>3</v>
      </c>
      <c r="T612" t="b">
        <v>0</v>
      </c>
      <c r="U612" t="str">
        <f t="shared" si="45"/>
        <v>Normal Usage</v>
      </c>
      <c r="V612" t="str">
        <f t="shared" si="46"/>
        <v>Normal</v>
      </c>
      <c r="W612" t="str">
        <f t="shared" si="47"/>
        <v>Stable</v>
      </c>
      <c r="X612" t="str">
        <f t="shared" si="48"/>
        <v>Medium</v>
      </c>
      <c r="Y612">
        <f t="shared" si="49"/>
        <v>100</v>
      </c>
    </row>
    <row r="613" spans="1:25">
      <c r="A613" t="s">
        <v>62</v>
      </c>
      <c r="B613">
        <v>57</v>
      </c>
      <c r="C613">
        <v>415</v>
      </c>
      <c r="D613" t="s">
        <v>21</v>
      </c>
      <c r="E613" t="s">
        <v>21</v>
      </c>
      <c r="F613">
        <v>0</v>
      </c>
      <c r="G613">
        <v>221.1</v>
      </c>
      <c r="H613">
        <v>101</v>
      </c>
      <c r="I613">
        <v>37.590000000000003</v>
      </c>
      <c r="J613">
        <v>236.7</v>
      </c>
      <c r="K613">
        <v>65</v>
      </c>
      <c r="L613">
        <v>20.12</v>
      </c>
      <c r="M613">
        <v>252.3</v>
      </c>
      <c r="N613">
        <v>137</v>
      </c>
      <c r="O613">
        <v>11.35</v>
      </c>
      <c r="P613">
        <v>9.5</v>
      </c>
      <c r="Q613">
        <v>1</v>
      </c>
      <c r="R613">
        <v>2.57</v>
      </c>
      <c r="S613">
        <v>0</v>
      </c>
      <c r="T613" t="b">
        <v>0</v>
      </c>
      <c r="U613" t="str">
        <f t="shared" si="45"/>
        <v>High Usage</v>
      </c>
      <c r="V613" t="str">
        <f t="shared" si="46"/>
        <v>Normal</v>
      </c>
      <c r="W613" t="str">
        <f t="shared" si="47"/>
        <v>Stable</v>
      </c>
      <c r="X613" t="str">
        <f t="shared" si="48"/>
        <v>Low</v>
      </c>
      <c r="Y613">
        <f t="shared" si="49"/>
        <v>57</v>
      </c>
    </row>
    <row r="614" spans="1:25">
      <c r="A614" t="s">
        <v>58</v>
      </c>
      <c r="B614">
        <v>139</v>
      </c>
      <c r="C614">
        <v>408</v>
      </c>
      <c r="D614" t="s">
        <v>21</v>
      </c>
      <c r="E614" t="s">
        <v>21</v>
      </c>
      <c r="F614">
        <v>0</v>
      </c>
      <c r="G614">
        <v>139</v>
      </c>
      <c r="H614">
        <v>110</v>
      </c>
      <c r="I614">
        <v>23.63</v>
      </c>
      <c r="J614">
        <v>132.9</v>
      </c>
      <c r="K614">
        <v>93</v>
      </c>
      <c r="L614">
        <v>11.3</v>
      </c>
      <c r="M614">
        <v>272</v>
      </c>
      <c r="N614">
        <v>120</v>
      </c>
      <c r="O614">
        <v>12.24</v>
      </c>
      <c r="P614">
        <v>12.1</v>
      </c>
      <c r="Q614">
        <v>1</v>
      </c>
      <c r="R614">
        <v>3.27</v>
      </c>
      <c r="S614">
        <v>0</v>
      </c>
      <c r="T614" t="b">
        <v>0</v>
      </c>
      <c r="U614" t="str">
        <f t="shared" si="45"/>
        <v>Normal Usage</v>
      </c>
      <c r="V614" t="str">
        <f t="shared" si="46"/>
        <v>Normal</v>
      </c>
      <c r="W614" t="str">
        <f t="shared" si="47"/>
        <v>Stable</v>
      </c>
      <c r="X614" t="str">
        <f t="shared" si="48"/>
        <v>Low</v>
      </c>
      <c r="Y614">
        <f t="shared" si="49"/>
        <v>139</v>
      </c>
    </row>
    <row r="615" spans="1:25">
      <c r="A615" t="s">
        <v>47</v>
      </c>
      <c r="B615">
        <v>113</v>
      </c>
      <c r="C615">
        <v>415</v>
      </c>
      <c r="D615" t="s">
        <v>21</v>
      </c>
      <c r="E615" t="s">
        <v>21</v>
      </c>
      <c r="F615">
        <v>0</v>
      </c>
      <c r="G615">
        <v>159.80000000000001</v>
      </c>
      <c r="H615">
        <v>143</v>
      </c>
      <c r="I615">
        <v>27.17</v>
      </c>
      <c r="J615">
        <v>210.1</v>
      </c>
      <c r="K615">
        <v>93</v>
      </c>
      <c r="L615">
        <v>17.86</v>
      </c>
      <c r="M615">
        <v>175.1</v>
      </c>
      <c r="N615">
        <v>86</v>
      </c>
      <c r="O615">
        <v>7.88</v>
      </c>
      <c r="P615">
        <v>13.1</v>
      </c>
      <c r="Q615">
        <v>7</v>
      </c>
      <c r="R615">
        <v>3.54</v>
      </c>
      <c r="S615">
        <v>2</v>
      </c>
      <c r="T615" t="b">
        <v>0</v>
      </c>
      <c r="U615" t="str">
        <f t="shared" si="45"/>
        <v>Normal Usage</v>
      </c>
      <c r="V615" t="str">
        <f t="shared" si="46"/>
        <v>Normal</v>
      </c>
      <c r="W615" t="str">
        <f t="shared" si="47"/>
        <v>Stable</v>
      </c>
      <c r="X615" t="str">
        <f t="shared" si="48"/>
        <v>Low</v>
      </c>
      <c r="Y615">
        <f t="shared" si="49"/>
        <v>113</v>
      </c>
    </row>
    <row r="616" spans="1:25">
      <c r="A616" t="s">
        <v>64</v>
      </c>
      <c r="B616">
        <v>108</v>
      </c>
      <c r="C616">
        <v>415</v>
      </c>
      <c r="D616" t="s">
        <v>21</v>
      </c>
      <c r="E616" t="s">
        <v>21</v>
      </c>
      <c r="F616">
        <v>0</v>
      </c>
      <c r="G616">
        <v>239.3</v>
      </c>
      <c r="H616">
        <v>102</v>
      </c>
      <c r="I616">
        <v>40.68</v>
      </c>
      <c r="J616">
        <v>223.4</v>
      </c>
      <c r="K616">
        <v>127</v>
      </c>
      <c r="L616">
        <v>18.989999999999998</v>
      </c>
      <c r="M616">
        <v>251.4</v>
      </c>
      <c r="N616">
        <v>104</v>
      </c>
      <c r="O616">
        <v>11.31</v>
      </c>
      <c r="P616">
        <v>10.6</v>
      </c>
      <c r="Q616">
        <v>6</v>
      </c>
      <c r="R616">
        <v>2.86</v>
      </c>
      <c r="S616">
        <v>0</v>
      </c>
      <c r="T616" t="b">
        <v>0</v>
      </c>
      <c r="U616" t="str">
        <f t="shared" si="45"/>
        <v>High Usage</v>
      </c>
      <c r="V616" t="str">
        <f t="shared" si="46"/>
        <v>Normal</v>
      </c>
      <c r="W616" t="str">
        <f t="shared" si="47"/>
        <v>Stable</v>
      </c>
      <c r="X616" t="str">
        <f t="shared" si="48"/>
        <v>Low</v>
      </c>
      <c r="Y616">
        <f t="shared" si="49"/>
        <v>108</v>
      </c>
    </row>
    <row r="617" spans="1:25">
      <c r="A617" t="s">
        <v>34</v>
      </c>
      <c r="B617">
        <v>100</v>
      </c>
      <c r="C617">
        <v>415</v>
      </c>
      <c r="D617" t="s">
        <v>21</v>
      </c>
      <c r="E617" t="s">
        <v>21</v>
      </c>
      <c r="F617">
        <v>0</v>
      </c>
      <c r="G617">
        <v>113.3</v>
      </c>
      <c r="H617">
        <v>96</v>
      </c>
      <c r="I617">
        <v>19.260000000000002</v>
      </c>
      <c r="J617">
        <v>197.9</v>
      </c>
      <c r="K617">
        <v>89</v>
      </c>
      <c r="L617">
        <v>16.82</v>
      </c>
      <c r="M617">
        <v>284.5</v>
      </c>
      <c r="N617">
        <v>93</v>
      </c>
      <c r="O617">
        <v>12.8</v>
      </c>
      <c r="P617">
        <v>11.7</v>
      </c>
      <c r="Q617">
        <v>2</v>
      </c>
      <c r="R617">
        <v>3.16</v>
      </c>
      <c r="S617">
        <v>4</v>
      </c>
      <c r="T617" t="b">
        <v>1</v>
      </c>
      <c r="U617" t="str">
        <f t="shared" si="45"/>
        <v>Normal Usage</v>
      </c>
      <c r="V617" t="str">
        <f t="shared" si="46"/>
        <v>Normal</v>
      </c>
      <c r="W617" t="str">
        <f t="shared" si="47"/>
        <v>Potential Churn</v>
      </c>
      <c r="X617" t="str">
        <f t="shared" si="48"/>
        <v>Medium</v>
      </c>
      <c r="Y617">
        <f t="shared" si="49"/>
        <v>100</v>
      </c>
    </row>
    <row r="618" spans="1:25">
      <c r="A618" t="s">
        <v>66</v>
      </c>
      <c r="B618">
        <v>120</v>
      </c>
      <c r="C618">
        <v>510</v>
      </c>
      <c r="D618" t="s">
        <v>21</v>
      </c>
      <c r="E618" t="s">
        <v>21</v>
      </c>
      <c r="F618">
        <v>0</v>
      </c>
      <c r="G618">
        <v>192.6</v>
      </c>
      <c r="H618">
        <v>123</v>
      </c>
      <c r="I618">
        <v>32.74</v>
      </c>
      <c r="J618">
        <v>206.4</v>
      </c>
      <c r="K618">
        <v>105</v>
      </c>
      <c r="L618">
        <v>17.54</v>
      </c>
      <c r="M618">
        <v>283.2</v>
      </c>
      <c r="N618">
        <v>93</v>
      </c>
      <c r="O618">
        <v>12.74</v>
      </c>
      <c r="P618">
        <v>10.8</v>
      </c>
      <c r="Q618">
        <v>3</v>
      </c>
      <c r="R618">
        <v>2.92</v>
      </c>
      <c r="S618">
        <v>1</v>
      </c>
      <c r="T618" t="b">
        <v>0</v>
      </c>
      <c r="U618" t="str">
        <f t="shared" si="45"/>
        <v>Normal Usage</v>
      </c>
      <c r="V618" t="str">
        <f t="shared" si="46"/>
        <v>Normal</v>
      </c>
      <c r="W618" t="str">
        <f t="shared" si="47"/>
        <v>Stable</v>
      </c>
      <c r="X618" t="str">
        <f t="shared" si="48"/>
        <v>Low</v>
      </c>
      <c r="Y618">
        <f t="shared" si="49"/>
        <v>120</v>
      </c>
    </row>
    <row r="619" spans="1:25">
      <c r="A619" t="s">
        <v>64</v>
      </c>
      <c r="B619">
        <v>107</v>
      </c>
      <c r="C619">
        <v>408</v>
      </c>
      <c r="D619" t="s">
        <v>21</v>
      </c>
      <c r="E619" t="s">
        <v>27</v>
      </c>
      <c r="F619">
        <v>36</v>
      </c>
      <c r="G619">
        <v>96.3</v>
      </c>
      <c r="H619">
        <v>83</v>
      </c>
      <c r="I619">
        <v>16.37</v>
      </c>
      <c r="J619">
        <v>179.6</v>
      </c>
      <c r="K619">
        <v>91</v>
      </c>
      <c r="L619">
        <v>15.27</v>
      </c>
      <c r="M619">
        <v>166.3</v>
      </c>
      <c r="N619">
        <v>121</v>
      </c>
      <c r="O619">
        <v>7.48</v>
      </c>
      <c r="P619">
        <v>10.3</v>
      </c>
      <c r="Q619">
        <v>2</v>
      </c>
      <c r="R619">
        <v>2.78</v>
      </c>
      <c r="S619">
        <v>1</v>
      </c>
      <c r="T619" t="b">
        <v>0</v>
      </c>
      <c r="U619" t="str">
        <f t="shared" si="45"/>
        <v>Normal Usage</v>
      </c>
      <c r="V619" t="str">
        <f t="shared" si="46"/>
        <v>Normal</v>
      </c>
      <c r="W619" t="str">
        <f t="shared" si="47"/>
        <v>Stable</v>
      </c>
      <c r="X619" t="str">
        <f t="shared" si="48"/>
        <v>Low</v>
      </c>
      <c r="Y619">
        <f t="shared" si="49"/>
        <v>107</v>
      </c>
    </row>
    <row r="620" spans="1:25">
      <c r="A620" t="s">
        <v>22</v>
      </c>
      <c r="B620">
        <v>104</v>
      </c>
      <c r="C620">
        <v>408</v>
      </c>
      <c r="D620" t="s">
        <v>21</v>
      </c>
      <c r="E620" t="s">
        <v>21</v>
      </c>
      <c r="F620">
        <v>0</v>
      </c>
      <c r="G620">
        <v>280.39999999999998</v>
      </c>
      <c r="H620">
        <v>127</v>
      </c>
      <c r="I620">
        <v>47.67</v>
      </c>
      <c r="J620">
        <v>179.4</v>
      </c>
      <c r="K620">
        <v>79</v>
      </c>
      <c r="L620">
        <v>15.25</v>
      </c>
      <c r="M620">
        <v>150.6</v>
      </c>
      <c r="N620">
        <v>77</v>
      </c>
      <c r="O620">
        <v>6.78</v>
      </c>
      <c r="P620">
        <v>15.2</v>
      </c>
      <c r="Q620">
        <v>6</v>
      </c>
      <c r="R620">
        <v>4.0999999999999996</v>
      </c>
      <c r="S620">
        <v>5</v>
      </c>
      <c r="T620" t="b">
        <v>0</v>
      </c>
      <c r="U620" t="str">
        <f t="shared" si="45"/>
        <v>High Usage</v>
      </c>
      <c r="V620" t="str">
        <f t="shared" si="46"/>
        <v>Normal</v>
      </c>
      <c r="W620" t="str">
        <f t="shared" si="47"/>
        <v>Potential Churn</v>
      </c>
      <c r="X620" t="str">
        <f t="shared" si="48"/>
        <v>Medium</v>
      </c>
      <c r="Y620">
        <f t="shared" si="49"/>
        <v>104</v>
      </c>
    </row>
    <row r="621" spans="1:25">
      <c r="A621" t="s">
        <v>46</v>
      </c>
      <c r="B621">
        <v>62</v>
      </c>
      <c r="C621">
        <v>415</v>
      </c>
      <c r="D621" t="s">
        <v>21</v>
      </c>
      <c r="E621" t="s">
        <v>21</v>
      </c>
      <c r="F621">
        <v>0</v>
      </c>
      <c r="G621">
        <v>245.3</v>
      </c>
      <c r="H621">
        <v>91</v>
      </c>
      <c r="I621">
        <v>41.7</v>
      </c>
      <c r="J621">
        <v>122.9</v>
      </c>
      <c r="K621">
        <v>130</v>
      </c>
      <c r="L621">
        <v>10.45</v>
      </c>
      <c r="M621">
        <v>228.4</v>
      </c>
      <c r="N621">
        <v>102</v>
      </c>
      <c r="O621">
        <v>10.28</v>
      </c>
      <c r="P621">
        <v>8.5</v>
      </c>
      <c r="Q621">
        <v>4</v>
      </c>
      <c r="R621">
        <v>2.2999999999999998</v>
      </c>
      <c r="S621">
        <v>4</v>
      </c>
      <c r="T621" t="b">
        <v>0</v>
      </c>
      <c r="U621" t="str">
        <f t="shared" si="45"/>
        <v>High Usage</v>
      </c>
      <c r="V621" t="str">
        <f t="shared" si="46"/>
        <v>Normal</v>
      </c>
      <c r="W621" t="str">
        <f t="shared" si="47"/>
        <v>Potential Churn</v>
      </c>
      <c r="X621" t="str">
        <f t="shared" si="48"/>
        <v>Medium</v>
      </c>
      <c r="Y621">
        <f t="shared" si="49"/>
        <v>62</v>
      </c>
    </row>
    <row r="622" spans="1:25">
      <c r="A622" t="s">
        <v>34</v>
      </c>
      <c r="B622">
        <v>34</v>
      </c>
      <c r="C622">
        <v>415</v>
      </c>
      <c r="D622" t="s">
        <v>21</v>
      </c>
      <c r="E622" t="s">
        <v>27</v>
      </c>
      <c r="F622">
        <v>14</v>
      </c>
      <c r="G622">
        <v>151.5</v>
      </c>
      <c r="H622">
        <v>100</v>
      </c>
      <c r="I622">
        <v>25.76</v>
      </c>
      <c r="J622">
        <v>248.7</v>
      </c>
      <c r="K622">
        <v>126</v>
      </c>
      <c r="L622">
        <v>21.14</v>
      </c>
      <c r="M622">
        <v>199.8</v>
      </c>
      <c r="N622">
        <v>120</v>
      </c>
      <c r="O622">
        <v>8.99</v>
      </c>
      <c r="P622">
        <v>10.7</v>
      </c>
      <c r="Q622">
        <v>5</v>
      </c>
      <c r="R622">
        <v>2.89</v>
      </c>
      <c r="S622">
        <v>2</v>
      </c>
      <c r="T622" t="b">
        <v>0</v>
      </c>
      <c r="U622" t="str">
        <f t="shared" si="45"/>
        <v>Normal Usage</v>
      </c>
      <c r="V622" t="str">
        <f t="shared" si="46"/>
        <v>Normal</v>
      </c>
      <c r="W622" t="str">
        <f t="shared" si="47"/>
        <v>Stable</v>
      </c>
      <c r="X622" t="str">
        <f t="shared" si="48"/>
        <v>Low</v>
      </c>
      <c r="Y622">
        <f t="shared" si="49"/>
        <v>34</v>
      </c>
    </row>
    <row r="623" spans="1:25">
      <c r="A623" t="s">
        <v>46</v>
      </c>
      <c r="B623">
        <v>183</v>
      </c>
      <c r="C623">
        <v>415</v>
      </c>
      <c r="D623" t="s">
        <v>21</v>
      </c>
      <c r="E623" t="s">
        <v>21</v>
      </c>
      <c r="F623">
        <v>0</v>
      </c>
      <c r="G623">
        <v>190</v>
      </c>
      <c r="H623">
        <v>100</v>
      </c>
      <c r="I623">
        <v>32.299999999999997</v>
      </c>
      <c r="J623">
        <v>246.6</v>
      </c>
      <c r="K623">
        <v>78</v>
      </c>
      <c r="L623">
        <v>20.96</v>
      </c>
      <c r="M623">
        <v>304.2</v>
      </c>
      <c r="N623">
        <v>107</v>
      </c>
      <c r="O623">
        <v>13.69</v>
      </c>
      <c r="P623">
        <v>9.5</v>
      </c>
      <c r="Q623">
        <v>4</v>
      </c>
      <c r="R623">
        <v>2.57</v>
      </c>
      <c r="S623">
        <v>1</v>
      </c>
      <c r="T623" t="b">
        <v>0</v>
      </c>
      <c r="U623" t="str">
        <f t="shared" si="45"/>
        <v>Normal Usage</v>
      </c>
      <c r="V623" t="str">
        <f t="shared" si="46"/>
        <v>Normal</v>
      </c>
      <c r="W623" t="str">
        <f t="shared" si="47"/>
        <v>Stable</v>
      </c>
      <c r="X623" t="str">
        <f t="shared" si="48"/>
        <v>Low</v>
      </c>
      <c r="Y623">
        <f t="shared" si="49"/>
        <v>183</v>
      </c>
    </row>
    <row r="624" spans="1:25">
      <c r="A624" t="s">
        <v>63</v>
      </c>
      <c r="B624">
        <v>123</v>
      </c>
      <c r="C624">
        <v>408</v>
      </c>
      <c r="D624" t="s">
        <v>21</v>
      </c>
      <c r="E624" t="s">
        <v>21</v>
      </c>
      <c r="F624">
        <v>0</v>
      </c>
      <c r="G624">
        <v>114.8</v>
      </c>
      <c r="H624">
        <v>94</v>
      </c>
      <c r="I624">
        <v>19.52</v>
      </c>
      <c r="J624">
        <v>150</v>
      </c>
      <c r="K624">
        <v>104</v>
      </c>
      <c r="L624">
        <v>12.75</v>
      </c>
      <c r="M624">
        <v>268.60000000000002</v>
      </c>
      <c r="N624">
        <v>119</v>
      </c>
      <c r="O624">
        <v>12.09</v>
      </c>
      <c r="P624">
        <v>9.6</v>
      </c>
      <c r="Q624">
        <v>4</v>
      </c>
      <c r="R624">
        <v>2.59</v>
      </c>
      <c r="S624">
        <v>2</v>
      </c>
      <c r="T624" t="b">
        <v>0</v>
      </c>
      <c r="U624" t="str">
        <f t="shared" si="45"/>
        <v>Normal Usage</v>
      </c>
      <c r="V624" t="str">
        <f t="shared" si="46"/>
        <v>Normal</v>
      </c>
      <c r="W624" t="str">
        <f t="shared" si="47"/>
        <v>Stable</v>
      </c>
      <c r="X624" t="str">
        <f t="shared" si="48"/>
        <v>Low</v>
      </c>
      <c r="Y624">
        <f t="shared" si="49"/>
        <v>123</v>
      </c>
    </row>
    <row r="625" spans="1:25">
      <c r="A625" t="s">
        <v>22</v>
      </c>
      <c r="B625">
        <v>64</v>
      </c>
      <c r="C625">
        <v>408</v>
      </c>
      <c r="D625" t="s">
        <v>21</v>
      </c>
      <c r="E625" t="s">
        <v>21</v>
      </c>
      <c r="F625">
        <v>0</v>
      </c>
      <c r="G625">
        <v>113.8</v>
      </c>
      <c r="H625">
        <v>97</v>
      </c>
      <c r="I625">
        <v>19.350000000000001</v>
      </c>
      <c r="J625">
        <v>192.3</v>
      </c>
      <c r="K625">
        <v>97</v>
      </c>
      <c r="L625">
        <v>16.350000000000001</v>
      </c>
      <c r="M625">
        <v>214.9</v>
      </c>
      <c r="N625">
        <v>89</v>
      </c>
      <c r="O625">
        <v>9.67</v>
      </c>
      <c r="P625">
        <v>10.4</v>
      </c>
      <c r="Q625">
        <v>1</v>
      </c>
      <c r="R625">
        <v>2.81</v>
      </c>
      <c r="S625">
        <v>3</v>
      </c>
      <c r="T625" t="b">
        <v>0</v>
      </c>
      <c r="U625" t="str">
        <f t="shared" si="45"/>
        <v>Normal Usage</v>
      </c>
      <c r="V625" t="str">
        <f t="shared" si="46"/>
        <v>Normal</v>
      </c>
      <c r="W625" t="str">
        <f t="shared" si="47"/>
        <v>Stable</v>
      </c>
      <c r="X625" t="str">
        <f t="shared" si="48"/>
        <v>Medium</v>
      </c>
      <c r="Y625">
        <f t="shared" si="49"/>
        <v>64</v>
      </c>
    </row>
    <row r="626" spans="1:25">
      <c r="A626" t="s">
        <v>68</v>
      </c>
      <c r="B626">
        <v>27</v>
      </c>
      <c r="C626">
        <v>415</v>
      </c>
      <c r="D626" t="s">
        <v>21</v>
      </c>
      <c r="E626" t="s">
        <v>21</v>
      </c>
      <c r="F626">
        <v>0</v>
      </c>
      <c r="G626">
        <v>227.4</v>
      </c>
      <c r="H626">
        <v>67</v>
      </c>
      <c r="I626">
        <v>38.659999999999997</v>
      </c>
      <c r="J626">
        <v>248</v>
      </c>
      <c r="K626">
        <v>115</v>
      </c>
      <c r="L626">
        <v>21.08</v>
      </c>
      <c r="M626">
        <v>61.4</v>
      </c>
      <c r="N626">
        <v>109</v>
      </c>
      <c r="O626">
        <v>2.76</v>
      </c>
      <c r="P626">
        <v>7.8</v>
      </c>
      <c r="Q626">
        <v>6</v>
      </c>
      <c r="R626">
        <v>2.11</v>
      </c>
      <c r="S626">
        <v>1</v>
      </c>
      <c r="T626" t="b">
        <v>0</v>
      </c>
      <c r="U626" t="str">
        <f t="shared" si="45"/>
        <v>High Usage</v>
      </c>
      <c r="V626" t="str">
        <f t="shared" si="46"/>
        <v>Normal</v>
      </c>
      <c r="W626" t="str">
        <f t="shared" si="47"/>
        <v>Stable</v>
      </c>
      <c r="X626" t="str">
        <f t="shared" si="48"/>
        <v>Low</v>
      </c>
      <c r="Y626">
        <f t="shared" si="49"/>
        <v>27</v>
      </c>
    </row>
    <row r="627" spans="1:25">
      <c r="A627" t="s">
        <v>45</v>
      </c>
      <c r="B627">
        <v>123</v>
      </c>
      <c r="C627">
        <v>408</v>
      </c>
      <c r="D627" t="s">
        <v>21</v>
      </c>
      <c r="E627" t="s">
        <v>21</v>
      </c>
      <c r="F627">
        <v>0</v>
      </c>
      <c r="G627">
        <v>224</v>
      </c>
      <c r="H627">
        <v>99</v>
      </c>
      <c r="I627">
        <v>38.08</v>
      </c>
      <c r="J627">
        <v>210.7</v>
      </c>
      <c r="K627">
        <v>80</v>
      </c>
      <c r="L627">
        <v>17.91</v>
      </c>
      <c r="M627">
        <v>231.9</v>
      </c>
      <c r="N627">
        <v>75</v>
      </c>
      <c r="O627">
        <v>10.44</v>
      </c>
      <c r="P627">
        <v>2.1</v>
      </c>
      <c r="Q627">
        <v>5</v>
      </c>
      <c r="R627">
        <v>0.56999999999999995</v>
      </c>
      <c r="S627">
        <v>0</v>
      </c>
      <c r="T627" t="b">
        <v>0</v>
      </c>
      <c r="U627" t="str">
        <f t="shared" si="45"/>
        <v>High Usage</v>
      </c>
      <c r="V627" t="str">
        <f t="shared" si="46"/>
        <v>Normal</v>
      </c>
      <c r="W627" t="str">
        <f t="shared" si="47"/>
        <v>Stable</v>
      </c>
      <c r="X627" t="str">
        <f t="shared" si="48"/>
        <v>Low</v>
      </c>
      <c r="Y627">
        <f t="shared" si="49"/>
        <v>123</v>
      </c>
    </row>
    <row r="628" spans="1:25">
      <c r="A628" t="s">
        <v>46</v>
      </c>
      <c r="B628">
        <v>84</v>
      </c>
      <c r="C628">
        <v>408</v>
      </c>
      <c r="D628" t="s">
        <v>21</v>
      </c>
      <c r="E628" t="s">
        <v>27</v>
      </c>
      <c r="F628">
        <v>41</v>
      </c>
      <c r="G628">
        <v>153.9</v>
      </c>
      <c r="H628">
        <v>102</v>
      </c>
      <c r="I628">
        <v>26.16</v>
      </c>
      <c r="J628">
        <v>140.69999999999999</v>
      </c>
      <c r="K628">
        <v>117</v>
      </c>
      <c r="L628">
        <v>11.96</v>
      </c>
      <c r="M628">
        <v>217.7</v>
      </c>
      <c r="N628">
        <v>101</v>
      </c>
      <c r="O628">
        <v>9.8000000000000007</v>
      </c>
      <c r="P628">
        <v>12.8</v>
      </c>
      <c r="Q628">
        <v>5</v>
      </c>
      <c r="R628">
        <v>3.46</v>
      </c>
      <c r="S628">
        <v>1</v>
      </c>
      <c r="T628" t="b">
        <v>0</v>
      </c>
      <c r="U628" t="str">
        <f t="shared" si="45"/>
        <v>Normal Usage</v>
      </c>
      <c r="V628" t="str">
        <f t="shared" si="46"/>
        <v>Normal</v>
      </c>
      <c r="W628" t="str">
        <f t="shared" si="47"/>
        <v>Stable</v>
      </c>
      <c r="X628" t="str">
        <f t="shared" si="48"/>
        <v>Low</v>
      </c>
      <c r="Y628">
        <f t="shared" si="49"/>
        <v>84</v>
      </c>
    </row>
    <row r="629" spans="1:25">
      <c r="A629" t="s">
        <v>20</v>
      </c>
      <c r="B629">
        <v>91</v>
      </c>
      <c r="C629">
        <v>415</v>
      </c>
      <c r="D629" t="s">
        <v>21</v>
      </c>
      <c r="E629" t="s">
        <v>21</v>
      </c>
      <c r="F629">
        <v>0</v>
      </c>
      <c r="G629">
        <v>190.5</v>
      </c>
      <c r="H629">
        <v>128</v>
      </c>
      <c r="I629">
        <v>32.39</v>
      </c>
      <c r="J629">
        <v>205.5</v>
      </c>
      <c r="K629">
        <v>103</v>
      </c>
      <c r="L629">
        <v>17.47</v>
      </c>
      <c r="M629">
        <v>130.69999999999999</v>
      </c>
      <c r="N629">
        <v>63</v>
      </c>
      <c r="O629">
        <v>5.88</v>
      </c>
      <c r="P629">
        <v>13.8</v>
      </c>
      <c r="Q629">
        <v>5</v>
      </c>
      <c r="R629">
        <v>3.73</v>
      </c>
      <c r="S629">
        <v>0</v>
      </c>
      <c r="T629" t="b">
        <v>0</v>
      </c>
      <c r="U629" t="str">
        <f t="shared" si="45"/>
        <v>Normal Usage</v>
      </c>
      <c r="V629" t="str">
        <f t="shared" si="46"/>
        <v>Normal</v>
      </c>
      <c r="W629" t="str">
        <f t="shared" si="47"/>
        <v>Stable</v>
      </c>
      <c r="X629" t="str">
        <f t="shared" si="48"/>
        <v>Low</v>
      </c>
      <c r="Y629">
        <f t="shared" si="49"/>
        <v>91</v>
      </c>
    </row>
    <row r="630" spans="1:25">
      <c r="A630" t="s">
        <v>36</v>
      </c>
      <c r="B630">
        <v>95</v>
      </c>
      <c r="C630">
        <v>510</v>
      </c>
      <c r="D630" t="s">
        <v>21</v>
      </c>
      <c r="E630" t="s">
        <v>21</v>
      </c>
      <c r="F630">
        <v>0</v>
      </c>
      <c r="G630">
        <v>157.30000000000001</v>
      </c>
      <c r="H630">
        <v>116</v>
      </c>
      <c r="I630">
        <v>26.74</v>
      </c>
      <c r="J630">
        <v>197.5</v>
      </c>
      <c r="K630">
        <v>77</v>
      </c>
      <c r="L630">
        <v>16.79</v>
      </c>
      <c r="M630">
        <v>128.19999999999999</v>
      </c>
      <c r="N630">
        <v>111</v>
      </c>
      <c r="O630">
        <v>5.77</v>
      </c>
      <c r="P630">
        <v>8.4</v>
      </c>
      <c r="Q630">
        <v>4</v>
      </c>
      <c r="R630">
        <v>2.27</v>
      </c>
      <c r="S630">
        <v>2</v>
      </c>
      <c r="T630" t="b">
        <v>0</v>
      </c>
      <c r="U630" t="str">
        <f t="shared" si="45"/>
        <v>Normal Usage</v>
      </c>
      <c r="V630" t="str">
        <f t="shared" si="46"/>
        <v>Normal</v>
      </c>
      <c r="W630" t="str">
        <f t="shared" si="47"/>
        <v>Stable</v>
      </c>
      <c r="X630" t="str">
        <f t="shared" si="48"/>
        <v>Low</v>
      </c>
      <c r="Y630">
        <f t="shared" si="49"/>
        <v>95</v>
      </c>
    </row>
    <row r="631" spans="1:25">
      <c r="A631" t="s">
        <v>66</v>
      </c>
      <c r="B631">
        <v>73</v>
      </c>
      <c r="C631">
        <v>415</v>
      </c>
      <c r="D631" t="s">
        <v>21</v>
      </c>
      <c r="E631" t="s">
        <v>21</v>
      </c>
      <c r="F631">
        <v>0</v>
      </c>
      <c r="G631">
        <v>240.3</v>
      </c>
      <c r="H631">
        <v>130</v>
      </c>
      <c r="I631">
        <v>40.85</v>
      </c>
      <c r="J631">
        <v>162.5</v>
      </c>
      <c r="K631">
        <v>83</v>
      </c>
      <c r="L631">
        <v>13.81</v>
      </c>
      <c r="M631">
        <v>231.9</v>
      </c>
      <c r="N631">
        <v>136</v>
      </c>
      <c r="O631">
        <v>10.44</v>
      </c>
      <c r="P631">
        <v>11.9</v>
      </c>
      <c r="Q631">
        <v>3</v>
      </c>
      <c r="R631">
        <v>3.21</v>
      </c>
      <c r="S631">
        <v>0</v>
      </c>
      <c r="T631" t="b">
        <v>0</v>
      </c>
      <c r="U631" t="str">
        <f t="shared" si="45"/>
        <v>High Usage</v>
      </c>
      <c r="V631" t="str">
        <f t="shared" si="46"/>
        <v>Normal</v>
      </c>
      <c r="W631" t="str">
        <f t="shared" si="47"/>
        <v>Stable</v>
      </c>
      <c r="X631" t="str">
        <f t="shared" si="48"/>
        <v>Low</v>
      </c>
      <c r="Y631">
        <f t="shared" si="49"/>
        <v>73</v>
      </c>
    </row>
    <row r="632" spans="1:25">
      <c r="A632" t="s">
        <v>66</v>
      </c>
      <c r="B632">
        <v>58</v>
      </c>
      <c r="C632">
        <v>408</v>
      </c>
      <c r="D632" t="s">
        <v>21</v>
      </c>
      <c r="E632" t="s">
        <v>27</v>
      </c>
      <c r="F632">
        <v>39</v>
      </c>
      <c r="G632">
        <v>211.9</v>
      </c>
      <c r="H632">
        <v>40</v>
      </c>
      <c r="I632">
        <v>36.020000000000003</v>
      </c>
      <c r="J632">
        <v>274.39999999999998</v>
      </c>
      <c r="K632">
        <v>76</v>
      </c>
      <c r="L632">
        <v>23.32</v>
      </c>
      <c r="M632">
        <v>210.5</v>
      </c>
      <c r="N632">
        <v>139</v>
      </c>
      <c r="O632">
        <v>9.4700000000000006</v>
      </c>
      <c r="P632">
        <v>5.4</v>
      </c>
      <c r="Q632">
        <v>4</v>
      </c>
      <c r="R632">
        <v>1.46</v>
      </c>
      <c r="S632">
        <v>1</v>
      </c>
      <c r="T632" t="b">
        <v>0</v>
      </c>
      <c r="U632" t="str">
        <f t="shared" si="45"/>
        <v>High Usage</v>
      </c>
      <c r="V632" t="str">
        <f t="shared" si="46"/>
        <v>Normal</v>
      </c>
      <c r="W632" t="str">
        <f t="shared" si="47"/>
        <v>Stable</v>
      </c>
      <c r="X632" t="str">
        <f t="shared" si="48"/>
        <v>Low</v>
      </c>
      <c r="Y632">
        <f t="shared" si="49"/>
        <v>73</v>
      </c>
    </row>
    <row r="633" spans="1:25">
      <c r="A633" t="s">
        <v>71</v>
      </c>
      <c r="B633">
        <v>88</v>
      </c>
      <c r="C633">
        <v>415</v>
      </c>
      <c r="D633" t="s">
        <v>21</v>
      </c>
      <c r="E633" t="s">
        <v>21</v>
      </c>
      <c r="F633">
        <v>0</v>
      </c>
      <c r="G633">
        <v>113.7</v>
      </c>
      <c r="H633">
        <v>67</v>
      </c>
      <c r="I633">
        <v>19.329999999999998</v>
      </c>
      <c r="J633">
        <v>165.1</v>
      </c>
      <c r="K633">
        <v>127</v>
      </c>
      <c r="L633">
        <v>14.03</v>
      </c>
      <c r="M633">
        <v>141.5</v>
      </c>
      <c r="N633">
        <v>142</v>
      </c>
      <c r="O633">
        <v>6.37</v>
      </c>
      <c r="P633">
        <v>10.8</v>
      </c>
      <c r="Q633">
        <v>3</v>
      </c>
      <c r="R633">
        <v>2.92</v>
      </c>
      <c r="S633">
        <v>1</v>
      </c>
      <c r="T633" t="b">
        <v>0</v>
      </c>
      <c r="U633" t="str">
        <f t="shared" si="45"/>
        <v>Normal Usage</v>
      </c>
      <c r="V633" t="str">
        <f t="shared" si="46"/>
        <v>Normal</v>
      </c>
      <c r="W633" t="str">
        <f t="shared" si="47"/>
        <v>Stable</v>
      </c>
      <c r="X633" t="str">
        <f t="shared" si="48"/>
        <v>Low</v>
      </c>
      <c r="Y633">
        <f t="shared" si="49"/>
        <v>88</v>
      </c>
    </row>
    <row r="634" spans="1:25">
      <c r="A634" t="s">
        <v>41</v>
      </c>
      <c r="B634">
        <v>67</v>
      </c>
      <c r="C634">
        <v>415</v>
      </c>
      <c r="D634" t="s">
        <v>21</v>
      </c>
      <c r="E634" t="s">
        <v>27</v>
      </c>
      <c r="F634">
        <v>41</v>
      </c>
      <c r="G634">
        <v>174.7</v>
      </c>
      <c r="H634">
        <v>86</v>
      </c>
      <c r="I634">
        <v>29.7</v>
      </c>
      <c r="J634">
        <v>160.6</v>
      </c>
      <c r="K634">
        <v>93</v>
      </c>
      <c r="L634">
        <v>13.65</v>
      </c>
      <c r="M634">
        <v>155.30000000000001</v>
      </c>
      <c r="N634">
        <v>108</v>
      </c>
      <c r="O634">
        <v>6.99</v>
      </c>
      <c r="P634">
        <v>13.4</v>
      </c>
      <c r="Q634">
        <v>1</v>
      </c>
      <c r="R634">
        <v>3.62</v>
      </c>
      <c r="S634">
        <v>0</v>
      </c>
      <c r="T634" t="b">
        <v>0</v>
      </c>
      <c r="U634" t="str">
        <f t="shared" si="45"/>
        <v>Normal Usage</v>
      </c>
      <c r="V634" t="str">
        <f t="shared" si="46"/>
        <v>Normal</v>
      </c>
      <c r="W634" t="str">
        <f t="shared" si="47"/>
        <v>Stable</v>
      </c>
      <c r="X634" t="str">
        <f t="shared" si="48"/>
        <v>Low</v>
      </c>
      <c r="Y634">
        <f t="shared" si="49"/>
        <v>67</v>
      </c>
    </row>
    <row r="635" spans="1:25">
      <c r="A635" t="s">
        <v>40</v>
      </c>
      <c r="B635">
        <v>152</v>
      </c>
      <c r="C635">
        <v>510</v>
      </c>
      <c r="D635" t="s">
        <v>21</v>
      </c>
      <c r="E635" t="s">
        <v>21</v>
      </c>
      <c r="F635">
        <v>0</v>
      </c>
      <c r="G635">
        <v>161.4</v>
      </c>
      <c r="H635">
        <v>84</v>
      </c>
      <c r="I635">
        <v>27.44</v>
      </c>
      <c r="J635">
        <v>163.6</v>
      </c>
      <c r="K635">
        <v>88</v>
      </c>
      <c r="L635">
        <v>13.91</v>
      </c>
      <c r="M635">
        <v>153.19999999999999</v>
      </c>
      <c r="N635">
        <v>121</v>
      </c>
      <c r="O635">
        <v>6.89</v>
      </c>
      <c r="P635">
        <v>11.8</v>
      </c>
      <c r="Q635">
        <v>5</v>
      </c>
      <c r="R635">
        <v>3.19</v>
      </c>
      <c r="S635">
        <v>1</v>
      </c>
      <c r="T635" t="b">
        <v>0</v>
      </c>
      <c r="U635" t="str">
        <f t="shared" si="45"/>
        <v>Normal Usage</v>
      </c>
      <c r="V635" t="str">
        <f t="shared" si="46"/>
        <v>Normal</v>
      </c>
      <c r="W635" t="str">
        <f t="shared" si="47"/>
        <v>Stable</v>
      </c>
      <c r="X635" t="str">
        <f t="shared" si="48"/>
        <v>Low</v>
      </c>
      <c r="Y635">
        <f t="shared" si="49"/>
        <v>152</v>
      </c>
    </row>
    <row r="636" spans="1:25">
      <c r="A636" t="s">
        <v>67</v>
      </c>
      <c r="B636">
        <v>142</v>
      </c>
      <c r="C636">
        <v>510</v>
      </c>
      <c r="D636" t="s">
        <v>21</v>
      </c>
      <c r="E636" t="s">
        <v>27</v>
      </c>
      <c r="F636">
        <v>40</v>
      </c>
      <c r="G636">
        <v>230.7</v>
      </c>
      <c r="H636">
        <v>101</v>
      </c>
      <c r="I636">
        <v>39.22</v>
      </c>
      <c r="J636">
        <v>256.8</v>
      </c>
      <c r="K636">
        <v>88</v>
      </c>
      <c r="L636">
        <v>21.83</v>
      </c>
      <c r="M636">
        <v>263.89999999999998</v>
      </c>
      <c r="N636">
        <v>92</v>
      </c>
      <c r="O636">
        <v>11.88</v>
      </c>
      <c r="P636">
        <v>6.4</v>
      </c>
      <c r="Q636">
        <v>3</v>
      </c>
      <c r="R636">
        <v>1.73</v>
      </c>
      <c r="S636">
        <v>1</v>
      </c>
      <c r="T636" t="b">
        <v>0</v>
      </c>
      <c r="U636" t="str">
        <f t="shared" si="45"/>
        <v>High Usage</v>
      </c>
      <c r="V636" t="str">
        <f t="shared" si="46"/>
        <v>Normal</v>
      </c>
      <c r="W636" t="str">
        <f t="shared" si="47"/>
        <v>Stable</v>
      </c>
      <c r="X636" t="str">
        <f t="shared" si="48"/>
        <v>Low</v>
      </c>
      <c r="Y636">
        <f t="shared" si="49"/>
        <v>142</v>
      </c>
    </row>
    <row r="637" spans="1:25">
      <c r="A637" t="s">
        <v>29</v>
      </c>
      <c r="B637">
        <v>105</v>
      </c>
      <c r="C637">
        <v>408</v>
      </c>
      <c r="D637" t="s">
        <v>21</v>
      </c>
      <c r="E637" t="s">
        <v>21</v>
      </c>
      <c r="F637">
        <v>0</v>
      </c>
      <c r="G637">
        <v>232.6</v>
      </c>
      <c r="H637">
        <v>96</v>
      </c>
      <c r="I637">
        <v>39.54</v>
      </c>
      <c r="J637">
        <v>253.4</v>
      </c>
      <c r="K637">
        <v>117</v>
      </c>
      <c r="L637">
        <v>21.54</v>
      </c>
      <c r="M637">
        <v>154</v>
      </c>
      <c r="N637">
        <v>101</v>
      </c>
      <c r="O637">
        <v>6.93</v>
      </c>
      <c r="P637">
        <v>10.5</v>
      </c>
      <c r="Q637">
        <v>9</v>
      </c>
      <c r="R637">
        <v>2.84</v>
      </c>
      <c r="S637">
        <v>1</v>
      </c>
      <c r="T637" t="b">
        <v>0</v>
      </c>
      <c r="U637" t="str">
        <f t="shared" si="45"/>
        <v>High Usage</v>
      </c>
      <c r="V637" t="str">
        <f t="shared" si="46"/>
        <v>Normal</v>
      </c>
      <c r="W637" t="str">
        <f t="shared" si="47"/>
        <v>Stable</v>
      </c>
      <c r="X637" t="str">
        <f t="shared" si="48"/>
        <v>Low</v>
      </c>
      <c r="Y637">
        <f t="shared" si="49"/>
        <v>105</v>
      </c>
    </row>
    <row r="638" spans="1:25">
      <c r="A638" t="s">
        <v>61</v>
      </c>
      <c r="B638">
        <v>93</v>
      </c>
      <c r="C638">
        <v>408</v>
      </c>
      <c r="D638" t="s">
        <v>21</v>
      </c>
      <c r="E638" t="s">
        <v>27</v>
      </c>
      <c r="F638">
        <v>22</v>
      </c>
      <c r="G638">
        <v>306.2</v>
      </c>
      <c r="H638">
        <v>123</v>
      </c>
      <c r="I638">
        <v>52.05</v>
      </c>
      <c r="J638">
        <v>189.7</v>
      </c>
      <c r="K638">
        <v>83</v>
      </c>
      <c r="L638">
        <v>16.12</v>
      </c>
      <c r="M638">
        <v>240.3</v>
      </c>
      <c r="N638">
        <v>107</v>
      </c>
      <c r="O638">
        <v>10.81</v>
      </c>
      <c r="P638">
        <v>11.7</v>
      </c>
      <c r="Q638">
        <v>2</v>
      </c>
      <c r="R638">
        <v>3.16</v>
      </c>
      <c r="S638">
        <v>0</v>
      </c>
      <c r="T638" t="b">
        <v>0</v>
      </c>
      <c r="U638" t="str">
        <f t="shared" si="45"/>
        <v>High Usage</v>
      </c>
      <c r="V638" t="str">
        <f t="shared" si="46"/>
        <v>Normal</v>
      </c>
      <c r="W638" t="str">
        <f t="shared" si="47"/>
        <v>Potential Churn</v>
      </c>
      <c r="X638" t="str">
        <f t="shared" si="48"/>
        <v>Low</v>
      </c>
      <c r="Y638">
        <f t="shared" si="49"/>
        <v>93</v>
      </c>
    </row>
    <row r="639" spans="1:25">
      <c r="A639" t="s">
        <v>36</v>
      </c>
      <c r="B639">
        <v>79</v>
      </c>
      <c r="C639">
        <v>415</v>
      </c>
      <c r="D639" t="s">
        <v>21</v>
      </c>
      <c r="E639" t="s">
        <v>21</v>
      </c>
      <c r="F639">
        <v>0</v>
      </c>
      <c r="G639">
        <v>236.8</v>
      </c>
      <c r="H639">
        <v>135</v>
      </c>
      <c r="I639">
        <v>40.26</v>
      </c>
      <c r="J639">
        <v>186.4</v>
      </c>
      <c r="K639">
        <v>87</v>
      </c>
      <c r="L639">
        <v>15.84</v>
      </c>
      <c r="M639">
        <v>126.9</v>
      </c>
      <c r="N639">
        <v>112</v>
      </c>
      <c r="O639">
        <v>5.71</v>
      </c>
      <c r="P639">
        <v>10.4</v>
      </c>
      <c r="Q639">
        <v>5</v>
      </c>
      <c r="R639">
        <v>2.81</v>
      </c>
      <c r="S639">
        <v>2</v>
      </c>
      <c r="T639" t="b">
        <v>0</v>
      </c>
      <c r="U639" t="str">
        <f t="shared" si="45"/>
        <v>High Usage</v>
      </c>
      <c r="V639" t="str">
        <f t="shared" si="46"/>
        <v>Normal</v>
      </c>
      <c r="W639" t="str">
        <f t="shared" si="47"/>
        <v>Stable</v>
      </c>
      <c r="X639" t="str">
        <f t="shared" si="48"/>
        <v>Low</v>
      </c>
      <c r="Y639">
        <f t="shared" si="49"/>
        <v>79</v>
      </c>
    </row>
    <row r="640" spans="1:25">
      <c r="A640" t="s">
        <v>24</v>
      </c>
      <c r="B640">
        <v>88</v>
      </c>
      <c r="C640">
        <v>408</v>
      </c>
      <c r="D640" t="s">
        <v>21</v>
      </c>
      <c r="E640" t="s">
        <v>21</v>
      </c>
      <c r="F640">
        <v>0</v>
      </c>
      <c r="G640">
        <v>153.5</v>
      </c>
      <c r="H640">
        <v>94</v>
      </c>
      <c r="I640">
        <v>26.1</v>
      </c>
      <c r="J640">
        <v>251.7</v>
      </c>
      <c r="K640">
        <v>118</v>
      </c>
      <c r="L640">
        <v>21.39</v>
      </c>
      <c r="M640">
        <v>182.2</v>
      </c>
      <c r="N640">
        <v>99</v>
      </c>
      <c r="O640">
        <v>8.1999999999999993</v>
      </c>
      <c r="P640">
        <v>8.5</v>
      </c>
      <c r="Q640">
        <v>6</v>
      </c>
      <c r="R640">
        <v>2.2999999999999998</v>
      </c>
      <c r="S640">
        <v>1</v>
      </c>
      <c r="T640" t="b">
        <v>0</v>
      </c>
      <c r="U640" t="str">
        <f t="shared" si="45"/>
        <v>Normal Usage</v>
      </c>
      <c r="V640" t="str">
        <f t="shared" si="46"/>
        <v>Normal</v>
      </c>
      <c r="W640" t="str">
        <f t="shared" si="47"/>
        <v>Stable</v>
      </c>
      <c r="X640" t="str">
        <f t="shared" si="48"/>
        <v>Low</v>
      </c>
      <c r="Y640">
        <f t="shared" si="49"/>
        <v>88</v>
      </c>
    </row>
    <row r="641" spans="1:25">
      <c r="A641" t="s">
        <v>53</v>
      </c>
      <c r="B641">
        <v>110</v>
      </c>
      <c r="C641">
        <v>408</v>
      </c>
      <c r="D641" t="s">
        <v>21</v>
      </c>
      <c r="E641" t="s">
        <v>21</v>
      </c>
      <c r="F641">
        <v>0</v>
      </c>
      <c r="G641">
        <v>159.5</v>
      </c>
      <c r="H641">
        <v>145</v>
      </c>
      <c r="I641">
        <v>27.12</v>
      </c>
      <c r="J641">
        <v>202.3</v>
      </c>
      <c r="K641">
        <v>101</v>
      </c>
      <c r="L641">
        <v>17.2</v>
      </c>
      <c r="M641">
        <v>256</v>
      </c>
      <c r="N641">
        <v>96</v>
      </c>
      <c r="O641">
        <v>11.52</v>
      </c>
      <c r="P641">
        <v>16.7</v>
      </c>
      <c r="Q641">
        <v>2</v>
      </c>
      <c r="R641">
        <v>4.51</v>
      </c>
      <c r="S641">
        <v>2</v>
      </c>
      <c r="T641" t="b">
        <v>0</v>
      </c>
      <c r="U641" t="str">
        <f t="shared" si="45"/>
        <v>Normal Usage</v>
      </c>
      <c r="V641" t="str">
        <f t="shared" si="46"/>
        <v>Normal</v>
      </c>
      <c r="W641" t="str">
        <f t="shared" si="47"/>
        <v>Stable</v>
      </c>
      <c r="X641" t="str">
        <f t="shared" si="48"/>
        <v>Low</v>
      </c>
      <c r="Y641">
        <f t="shared" si="49"/>
        <v>110</v>
      </c>
    </row>
    <row r="642" spans="1:25">
      <c r="A642" t="s">
        <v>23</v>
      </c>
      <c r="B642">
        <v>209</v>
      </c>
      <c r="C642">
        <v>415</v>
      </c>
      <c r="D642" t="s">
        <v>21</v>
      </c>
      <c r="E642" t="s">
        <v>21</v>
      </c>
      <c r="F642">
        <v>0</v>
      </c>
      <c r="G642">
        <v>153.69999999999999</v>
      </c>
      <c r="H642">
        <v>105</v>
      </c>
      <c r="I642">
        <v>26.13</v>
      </c>
      <c r="J642">
        <v>188.6</v>
      </c>
      <c r="K642">
        <v>87</v>
      </c>
      <c r="L642">
        <v>16.03</v>
      </c>
      <c r="M642">
        <v>200.8</v>
      </c>
      <c r="N642">
        <v>95</v>
      </c>
      <c r="O642">
        <v>9.0399999999999991</v>
      </c>
      <c r="P642">
        <v>10.7</v>
      </c>
      <c r="Q642">
        <v>2</v>
      </c>
      <c r="R642">
        <v>2.89</v>
      </c>
      <c r="S642">
        <v>0</v>
      </c>
      <c r="T642" t="b">
        <v>0</v>
      </c>
      <c r="U642" t="str">
        <f t="shared" si="45"/>
        <v>Normal Usage</v>
      </c>
      <c r="V642" t="str">
        <f t="shared" si="46"/>
        <v>Normal</v>
      </c>
      <c r="W642" t="str">
        <f t="shared" si="47"/>
        <v>Stable</v>
      </c>
      <c r="X642" t="str">
        <f t="shared" si="48"/>
        <v>Low</v>
      </c>
      <c r="Y642">
        <f t="shared" si="49"/>
        <v>209</v>
      </c>
    </row>
    <row r="643" spans="1:25">
      <c r="A643" t="s">
        <v>47</v>
      </c>
      <c r="B643">
        <v>27</v>
      </c>
      <c r="C643">
        <v>510</v>
      </c>
      <c r="D643" t="s">
        <v>21</v>
      </c>
      <c r="E643" t="s">
        <v>21</v>
      </c>
      <c r="F643">
        <v>0</v>
      </c>
      <c r="G643">
        <v>232.1</v>
      </c>
      <c r="H643">
        <v>81</v>
      </c>
      <c r="I643">
        <v>39.46</v>
      </c>
      <c r="J643">
        <v>210.8</v>
      </c>
      <c r="K643">
        <v>101</v>
      </c>
      <c r="L643">
        <v>17.920000000000002</v>
      </c>
      <c r="M643">
        <v>165.4</v>
      </c>
      <c r="N643">
        <v>87</v>
      </c>
      <c r="O643">
        <v>7.44</v>
      </c>
      <c r="P643">
        <v>15</v>
      </c>
      <c r="Q643">
        <v>6</v>
      </c>
      <c r="R643">
        <v>4.05</v>
      </c>
      <c r="S643">
        <v>5</v>
      </c>
      <c r="T643" t="b">
        <v>0</v>
      </c>
      <c r="U643" t="str">
        <f t="shared" ref="U643:U668" si="50">IF(G643&gt;200,"High Usage","Normal Usage")</f>
        <v>High Usage</v>
      </c>
      <c r="V643" t="str">
        <f t="shared" ref="V643:V668" si="51">IF(AND(S643&gt;3,D643="Yes"),"High Risk","Normal")</f>
        <v>Normal</v>
      </c>
      <c r="W643" t="str">
        <f t="shared" ref="W643:W668" si="52">IF(OR(S643&gt;3,G643&gt;250),"Potential Churn","Stable")</f>
        <v>Potential Churn</v>
      </c>
      <c r="X643" t="str">
        <f t="shared" ref="X643:X668" si="53">IF(S643&gt;5,"Critical",IF(S643&gt;=3,"Medium","Low"))</f>
        <v>Medium</v>
      </c>
      <c r="Y643">
        <f t="shared" ref="Y643:Y668" si="54">VLOOKUP(A643,A642:U1309,2,FALSE)</f>
        <v>27</v>
      </c>
    </row>
    <row r="644" spans="1:25">
      <c r="A644" t="s">
        <v>63</v>
      </c>
      <c r="B644">
        <v>117</v>
      </c>
      <c r="C644">
        <v>415</v>
      </c>
      <c r="D644" t="s">
        <v>21</v>
      </c>
      <c r="E644" t="s">
        <v>21</v>
      </c>
      <c r="F644">
        <v>0</v>
      </c>
      <c r="G644">
        <v>201.9</v>
      </c>
      <c r="H644">
        <v>86</v>
      </c>
      <c r="I644">
        <v>34.32</v>
      </c>
      <c r="J644">
        <v>212.3</v>
      </c>
      <c r="K644">
        <v>96</v>
      </c>
      <c r="L644">
        <v>18.05</v>
      </c>
      <c r="M644">
        <v>176.9</v>
      </c>
      <c r="N644">
        <v>98</v>
      </c>
      <c r="O644">
        <v>7.96</v>
      </c>
      <c r="P644">
        <v>7.8</v>
      </c>
      <c r="Q644">
        <v>10</v>
      </c>
      <c r="R644">
        <v>2.11</v>
      </c>
      <c r="S644">
        <v>1</v>
      </c>
      <c r="T644" t="b">
        <v>0</v>
      </c>
      <c r="U644" t="str">
        <f t="shared" si="50"/>
        <v>High Usage</v>
      </c>
      <c r="V644" t="str">
        <f t="shared" si="51"/>
        <v>Normal</v>
      </c>
      <c r="W644" t="str">
        <f t="shared" si="52"/>
        <v>Stable</v>
      </c>
      <c r="X644" t="str">
        <f t="shared" si="53"/>
        <v>Low</v>
      </c>
      <c r="Y644">
        <f t="shared" si="54"/>
        <v>117</v>
      </c>
    </row>
    <row r="645" spans="1:25">
      <c r="A645" t="s">
        <v>35</v>
      </c>
      <c r="B645">
        <v>87</v>
      </c>
      <c r="C645">
        <v>408</v>
      </c>
      <c r="D645" t="s">
        <v>21</v>
      </c>
      <c r="E645" t="s">
        <v>21</v>
      </c>
      <c r="F645">
        <v>0</v>
      </c>
      <c r="G645">
        <v>186.9</v>
      </c>
      <c r="H645">
        <v>79</v>
      </c>
      <c r="I645">
        <v>31.77</v>
      </c>
      <c r="J645">
        <v>182.6</v>
      </c>
      <c r="K645">
        <v>105</v>
      </c>
      <c r="L645">
        <v>15.52</v>
      </c>
      <c r="M645">
        <v>143.1</v>
      </c>
      <c r="N645">
        <v>90</v>
      </c>
      <c r="O645">
        <v>6.44</v>
      </c>
      <c r="P645">
        <v>4.2</v>
      </c>
      <c r="Q645">
        <v>14</v>
      </c>
      <c r="R645">
        <v>1.1299999999999999</v>
      </c>
      <c r="S645">
        <v>1</v>
      </c>
      <c r="T645" t="b">
        <v>0</v>
      </c>
      <c r="U645" t="str">
        <f t="shared" si="50"/>
        <v>Normal Usage</v>
      </c>
      <c r="V645" t="str">
        <f t="shared" si="51"/>
        <v>Normal</v>
      </c>
      <c r="W645" t="str">
        <f t="shared" si="52"/>
        <v>Stable</v>
      </c>
      <c r="X645" t="str">
        <f t="shared" si="53"/>
        <v>Low</v>
      </c>
      <c r="Y645">
        <f t="shared" si="54"/>
        <v>87</v>
      </c>
    </row>
    <row r="646" spans="1:25">
      <c r="A646" t="s">
        <v>56</v>
      </c>
      <c r="B646">
        <v>129</v>
      </c>
      <c r="C646">
        <v>510</v>
      </c>
      <c r="D646" t="s">
        <v>21</v>
      </c>
      <c r="E646" t="s">
        <v>27</v>
      </c>
      <c r="F646">
        <v>27</v>
      </c>
      <c r="G646">
        <v>196.6</v>
      </c>
      <c r="H646">
        <v>89</v>
      </c>
      <c r="I646">
        <v>33.42</v>
      </c>
      <c r="J646">
        <v>180.6</v>
      </c>
      <c r="K646">
        <v>95</v>
      </c>
      <c r="L646">
        <v>15.35</v>
      </c>
      <c r="M646">
        <v>245</v>
      </c>
      <c r="N646">
        <v>83</v>
      </c>
      <c r="O646">
        <v>11.03</v>
      </c>
      <c r="P646">
        <v>6.6</v>
      </c>
      <c r="Q646">
        <v>5</v>
      </c>
      <c r="R646">
        <v>1.78</v>
      </c>
      <c r="S646">
        <v>1</v>
      </c>
      <c r="T646" t="b">
        <v>0</v>
      </c>
      <c r="U646" t="str">
        <f t="shared" si="50"/>
        <v>Normal Usage</v>
      </c>
      <c r="V646" t="str">
        <f t="shared" si="51"/>
        <v>Normal</v>
      </c>
      <c r="W646" t="str">
        <f t="shared" si="52"/>
        <v>Stable</v>
      </c>
      <c r="X646" t="str">
        <f t="shared" si="53"/>
        <v>Low</v>
      </c>
      <c r="Y646">
        <f t="shared" si="54"/>
        <v>129</v>
      </c>
    </row>
    <row r="647" spans="1:25">
      <c r="A647" t="s">
        <v>31</v>
      </c>
      <c r="B647">
        <v>142</v>
      </c>
      <c r="C647">
        <v>510</v>
      </c>
      <c r="D647" t="s">
        <v>21</v>
      </c>
      <c r="E647" t="s">
        <v>21</v>
      </c>
      <c r="F647">
        <v>0</v>
      </c>
      <c r="G647">
        <v>232.1</v>
      </c>
      <c r="H647">
        <v>102</v>
      </c>
      <c r="I647">
        <v>39.46</v>
      </c>
      <c r="J647">
        <v>168.2</v>
      </c>
      <c r="K647">
        <v>110</v>
      </c>
      <c r="L647">
        <v>14.3</v>
      </c>
      <c r="M647">
        <v>197.3</v>
      </c>
      <c r="N647">
        <v>120</v>
      </c>
      <c r="O647">
        <v>8.8800000000000008</v>
      </c>
      <c r="P647">
        <v>9.9</v>
      </c>
      <c r="Q647">
        <v>3</v>
      </c>
      <c r="R647">
        <v>2.67</v>
      </c>
      <c r="S647">
        <v>1</v>
      </c>
      <c r="T647" t="b">
        <v>0</v>
      </c>
      <c r="U647" t="str">
        <f t="shared" si="50"/>
        <v>High Usage</v>
      </c>
      <c r="V647" t="str">
        <f t="shared" si="51"/>
        <v>Normal</v>
      </c>
      <c r="W647" t="str">
        <f t="shared" si="52"/>
        <v>Stable</v>
      </c>
      <c r="X647" t="str">
        <f t="shared" si="53"/>
        <v>Low</v>
      </c>
      <c r="Y647">
        <f t="shared" si="54"/>
        <v>142</v>
      </c>
    </row>
    <row r="648" spans="1:25">
      <c r="A648" t="s">
        <v>55</v>
      </c>
      <c r="B648">
        <v>112</v>
      </c>
      <c r="C648">
        <v>415</v>
      </c>
      <c r="D648" t="s">
        <v>21</v>
      </c>
      <c r="E648" t="s">
        <v>21</v>
      </c>
      <c r="F648">
        <v>0</v>
      </c>
      <c r="G648">
        <v>166</v>
      </c>
      <c r="H648">
        <v>79</v>
      </c>
      <c r="I648">
        <v>28.22</v>
      </c>
      <c r="J648">
        <v>74.599999999999994</v>
      </c>
      <c r="K648">
        <v>100</v>
      </c>
      <c r="L648">
        <v>6.34</v>
      </c>
      <c r="M648">
        <v>247.9</v>
      </c>
      <c r="N648">
        <v>74</v>
      </c>
      <c r="O648">
        <v>11.16</v>
      </c>
      <c r="P648">
        <v>6.3</v>
      </c>
      <c r="Q648">
        <v>7</v>
      </c>
      <c r="R648">
        <v>1.7</v>
      </c>
      <c r="S648">
        <v>0</v>
      </c>
      <c r="T648" t="b">
        <v>0</v>
      </c>
      <c r="U648" t="str">
        <f t="shared" si="50"/>
        <v>Normal Usage</v>
      </c>
      <c r="V648" t="str">
        <f t="shared" si="51"/>
        <v>Normal</v>
      </c>
      <c r="W648" t="str">
        <f t="shared" si="52"/>
        <v>Stable</v>
      </c>
      <c r="X648" t="str">
        <f t="shared" si="53"/>
        <v>Low</v>
      </c>
      <c r="Y648">
        <f t="shared" si="54"/>
        <v>112</v>
      </c>
    </row>
    <row r="649" spans="1:25">
      <c r="A649" t="s">
        <v>38</v>
      </c>
      <c r="B649">
        <v>97</v>
      </c>
      <c r="C649">
        <v>408</v>
      </c>
      <c r="D649" t="s">
        <v>21</v>
      </c>
      <c r="E649" t="s">
        <v>27</v>
      </c>
      <c r="F649">
        <v>25</v>
      </c>
      <c r="G649">
        <v>141</v>
      </c>
      <c r="H649">
        <v>101</v>
      </c>
      <c r="I649">
        <v>23.97</v>
      </c>
      <c r="J649">
        <v>212</v>
      </c>
      <c r="K649">
        <v>85</v>
      </c>
      <c r="L649">
        <v>18.02</v>
      </c>
      <c r="M649">
        <v>175.2</v>
      </c>
      <c r="N649">
        <v>138</v>
      </c>
      <c r="O649">
        <v>7.88</v>
      </c>
      <c r="P649">
        <v>4.9000000000000004</v>
      </c>
      <c r="Q649">
        <v>2</v>
      </c>
      <c r="R649">
        <v>1.32</v>
      </c>
      <c r="S649">
        <v>3</v>
      </c>
      <c r="T649" t="b">
        <v>0</v>
      </c>
      <c r="U649" t="str">
        <f t="shared" si="50"/>
        <v>Normal Usage</v>
      </c>
      <c r="V649" t="str">
        <f t="shared" si="51"/>
        <v>Normal</v>
      </c>
      <c r="W649" t="str">
        <f t="shared" si="52"/>
        <v>Stable</v>
      </c>
      <c r="X649" t="str">
        <f t="shared" si="53"/>
        <v>Medium</v>
      </c>
      <c r="Y649">
        <f t="shared" si="54"/>
        <v>97</v>
      </c>
    </row>
    <row r="650" spans="1:25">
      <c r="A650" t="s">
        <v>52</v>
      </c>
      <c r="B650">
        <v>101</v>
      </c>
      <c r="C650">
        <v>415</v>
      </c>
      <c r="D650" t="s">
        <v>21</v>
      </c>
      <c r="E650" t="s">
        <v>21</v>
      </c>
      <c r="F650">
        <v>0</v>
      </c>
      <c r="G650">
        <v>231.3</v>
      </c>
      <c r="H650">
        <v>87</v>
      </c>
      <c r="I650">
        <v>39.32</v>
      </c>
      <c r="J650">
        <v>224.7</v>
      </c>
      <c r="K650">
        <v>88</v>
      </c>
      <c r="L650">
        <v>19.100000000000001</v>
      </c>
      <c r="M650">
        <v>214.6</v>
      </c>
      <c r="N650">
        <v>69</v>
      </c>
      <c r="O650">
        <v>9.66</v>
      </c>
      <c r="P650">
        <v>7.2</v>
      </c>
      <c r="Q650">
        <v>7</v>
      </c>
      <c r="R650">
        <v>1.94</v>
      </c>
      <c r="S650">
        <v>1</v>
      </c>
      <c r="T650" t="b">
        <v>0</v>
      </c>
      <c r="U650" t="str">
        <f t="shared" si="50"/>
        <v>High Usage</v>
      </c>
      <c r="V650" t="str">
        <f t="shared" si="51"/>
        <v>Normal</v>
      </c>
      <c r="W650" t="str">
        <f t="shared" si="52"/>
        <v>Stable</v>
      </c>
      <c r="X650" t="str">
        <f t="shared" si="53"/>
        <v>Low</v>
      </c>
      <c r="Y650">
        <f t="shared" si="54"/>
        <v>101</v>
      </c>
    </row>
    <row r="651" spans="1:25">
      <c r="A651" t="s">
        <v>52</v>
      </c>
      <c r="B651">
        <v>127</v>
      </c>
      <c r="C651">
        <v>415</v>
      </c>
      <c r="D651" t="s">
        <v>21</v>
      </c>
      <c r="E651" t="s">
        <v>27</v>
      </c>
      <c r="F651">
        <v>24</v>
      </c>
      <c r="G651">
        <v>154.80000000000001</v>
      </c>
      <c r="H651">
        <v>69</v>
      </c>
      <c r="I651">
        <v>26.32</v>
      </c>
      <c r="J651">
        <v>177.2</v>
      </c>
      <c r="K651">
        <v>105</v>
      </c>
      <c r="L651">
        <v>15.06</v>
      </c>
      <c r="M651">
        <v>207.6</v>
      </c>
      <c r="N651">
        <v>102</v>
      </c>
      <c r="O651">
        <v>9.34</v>
      </c>
      <c r="P651">
        <v>9</v>
      </c>
      <c r="Q651">
        <v>4</v>
      </c>
      <c r="R651">
        <v>2.4300000000000002</v>
      </c>
      <c r="S651">
        <v>1</v>
      </c>
      <c r="T651" t="b">
        <v>0</v>
      </c>
      <c r="U651" t="str">
        <f t="shared" si="50"/>
        <v>Normal Usage</v>
      </c>
      <c r="V651" t="str">
        <f t="shared" si="51"/>
        <v>Normal</v>
      </c>
      <c r="W651" t="str">
        <f t="shared" si="52"/>
        <v>Stable</v>
      </c>
      <c r="X651" t="str">
        <f t="shared" si="53"/>
        <v>Low</v>
      </c>
      <c r="Y651">
        <f t="shared" si="54"/>
        <v>101</v>
      </c>
    </row>
    <row r="652" spans="1:25">
      <c r="A652" t="s">
        <v>50</v>
      </c>
      <c r="B652">
        <v>148</v>
      </c>
      <c r="C652">
        <v>408</v>
      </c>
      <c r="D652" t="s">
        <v>21</v>
      </c>
      <c r="E652" t="s">
        <v>21</v>
      </c>
      <c r="F652">
        <v>0</v>
      </c>
      <c r="G652">
        <v>243</v>
      </c>
      <c r="H652">
        <v>115</v>
      </c>
      <c r="I652">
        <v>41.31</v>
      </c>
      <c r="J652">
        <v>191.8</v>
      </c>
      <c r="K652">
        <v>91</v>
      </c>
      <c r="L652">
        <v>16.3</v>
      </c>
      <c r="M652">
        <v>117.8</v>
      </c>
      <c r="N652">
        <v>93</v>
      </c>
      <c r="O652">
        <v>5.3</v>
      </c>
      <c r="P652">
        <v>13.4</v>
      </c>
      <c r="Q652">
        <v>5</v>
      </c>
      <c r="R652">
        <v>3.62</v>
      </c>
      <c r="S652">
        <v>2</v>
      </c>
      <c r="T652" t="b">
        <v>0</v>
      </c>
      <c r="U652" t="str">
        <f t="shared" si="50"/>
        <v>High Usage</v>
      </c>
      <c r="V652" t="str">
        <f t="shared" si="51"/>
        <v>Normal</v>
      </c>
      <c r="W652" t="str">
        <f t="shared" si="52"/>
        <v>Stable</v>
      </c>
      <c r="X652" t="str">
        <f t="shared" si="53"/>
        <v>Low</v>
      </c>
      <c r="Y652">
        <f t="shared" si="54"/>
        <v>148</v>
      </c>
    </row>
    <row r="653" spans="1:25">
      <c r="A653" t="s">
        <v>55</v>
      </c>
      <c r="B653">
        <v>138</v>
      </c>
      <c r="C653">
        <v>510</v>
      </c>
      <c r="D653" t="s">
        <v>21</v>
      </c>
      <c r="E653" t="s">
        <v>27</v>
      </c>
      <c r="F653">
        <v>33</v>
      </c>
      <c r="G653">
        <v>155.19999999999999</v>
      </c>
      <c r="H653">
        <v>139</v>
      </c>
      <c r="I653">
        <v>26.38</v>
      </c>
      <c r="J653">
        <v>268.3</v>
      </c>
      <c r="K653">
        <v>79</v>
      </c>
      <c r="L653">
        <v>22.81</v>
      </c>
      <c r="M653">
        <v>186.4</v>
      </c>
      <c r="N653">
        <v>71</v>
      </c>
      <c r="O653">
        <v>8.39</v>
      </c>
      <c r="P653">
        <v>9.6999999999999993</v>
      </c>
      <c r="Q653">
        <v>4</v>
      </c>
      <c r="R653">
        <v>2.62</v>
      </c>
      <c r="S653">
        <v>3</v>
      </c>
      <c r="T653" t="b">
        <v>0</v>
      </c>
      <c r="U653" t="str">
        <f t="shared" si="50"/>
        <v>Normal Usage</v>
      </c>
      <c r="V653" t="str">
        <f t="shared" si="51"/>
        <v>Normal</v>
      </c>
      <c r="W653" t="str">
        <f t="shared" si="52"/>
        <v>Stable</v>
      </c>
      <c r="X653" t="str">
        <f t="shared" si="53"/>
        <v>Medium</v>
      </c>
      <c r="Y653">
        <f t="shared" si="54"/>
        <v>138</v>
      </c>
    </row>
    <row r="654" spans="1:25">
      <c r="A654" t="s">
        <v>40</v>
      </c>
      <c r="B654">
        <v>84</v>
      </c>
      <c r="C654">
        <v>415</v>
      </c>
      <c r="D654" t="s">
        <v>21</v>
      </c>
      <c r="E654" t="s">
        <v>21</v>
      </c>
      <c r="F654">
        <v>0</v>
      </c>
      <c r="G654">
        <v>289.10000000000002</v>
      </c>
      <c r="H654">
        <v>100</v>
      </c>
      <c r="I654">
        <v>49.15</v>
      </c>
      <c r="J654">
        <v>233.8</v>
      </c>
      <c r="K654">
        <v>97</v>
      </c>
      <c r="L654">
        <v>19.87</v>
      </c>
      <c r="M654">
        <v>223.5</v>
      </c>
      <c r="N654">
        <v>148</v>
      </c>
      <c r="O654">
        <v>10.06</v>
      </c>
      <c r="P654">
        <v>12.7</v>
      </c>
      <c r="Q654">
        <v>2</v>
      </c>
      <c r="R654">
        <v>3.43</v>
      </c>
      <c r="S654">
        <v>2</v>
      </c>
      <c r="T654" t="b">
        <v>1</v>
      </c>
      <c r="U654" t="str">
        <f t="shared" si="50"/>
        <v>High Usage</v>
      </c>
      <c r="V654" t="str">
        <f t="shared" si="51"/>
        <v>Normal</v>
      </c>
      <c r="W654" t="str">
        <f t="shared" si="52"/>
        <v>Potential Churn</v>
      </c>
      <c r="X654" t="str">
        <f t="shared" si="53"/>
        <v>Low</v>
      </c>
      <c r="Y654">
        <f t="shared" si="54"/>
        <v>84</v>
      </c>
    </row>
    <row r="655" spans="1:25">
      <c r="A655" t="s">
        <v>65</v>
      </c>
      <c r="B655">
        <v>133</v>
      </c>
      <c r="C655">
        <v>510</v>
      </c>
      <c r="D655" t="s">
        <v>21</v>
      </c>
      <c r="E655" t="s">
        <v>21</v>
      </c>
      <c r="F655">
        <v>0</v>
      </c>
      <c r="G655">
        <v>295</v>
      </c>
      <c r="H655">
        <v>141</v>
      </c>
      <c r="I655">
        <v>50.15</v>
      </c>
      <c r="J655">
        <v>223.6</v>
      </c>
      <c r="K655">
        <v>101</v>
      </c>
      <c r="L655">
        <v>19.010000000000002</v>
      </c>
      <c r="M655">
        <v>229.4</v>
      </c>
      <c r="N655">
        <v>109</v>
      </c>
      <c r="O655">
        <v>10.32</v>
      </c>
      <c r="P655">
        <v>12.9</v>
      </c>
      <c r="Q655">
        <v>4</v>
      </c>
      <c r="R655">
        <v>3.48</v>
      </c>
      <c r="S655">
        <v>2</v>
      </c>
      <c r="T655" t="b">
        <v>1</v>
      </c>
      <c r="U655" t="str">
        <f t="shared" si="50"/>
        <v>High Usage</v>
      </c>
      <c r="V655" t="str">
        <f t="shared" si="51"/>
        <v>Normal</v>
      </c>
      <c r="W655" t="str">
        <f t="shared" si="52"/>
        <v>Potential Churn</v>
      </c>
      <c r="X655" t="str">
        <f t="shared" si="53"/>
        <v>Low</v>
      </c>
      <c r="Y655">
        <f t="shared" si="54"/>
        <v>133</v>
      </c>
    </row>
    <row r="656" spans="1:25">
      <c r="A656" t="s">
        <v>23</v>
      </c>
      <c r="B656">
        <v>120</v>
      </c>
      <c r="C656">
        <v>510</v>
      </c>
      <c r="D656" t="s">
        <v>21</v>
      </c>
      <c r="E656" t="s">
        <v>27</v>
      </c>
      <c r="F656">
        <v>27</v>
      </c>
      <c r="G656">
        <v>128.5</v>
      </c>
      <c r="H656">
        <v>115</v>
      </c>
      <c r="I656">
        <v>21.85</v>
      </c>
      <c r="J656">
        <v>163.69999999999999</v>
      </c>
      <c r="K656">
        <v>91</v>
      </c>
      <c r="L656">
        <v>13.91</v>
      </c>
      <c r="M656">
        <v>242.9</v>
      </c>
      <c r="N656">
        <v>121</v>
      </c>
      <c r="O656">
        <v>10.93</v>
      </c>
      <c r="P656">
        <v>0</v>
      </c>
      <c r="Q656">
        <v>0</v>
      </c>
      <c r="R656">
        <v>0</v>
      </c>
      <c r="S656">
        <v>1</v>
      </c>
      <c r="T656" t="b">
        <v>0</v>
      </c>
      <c r="U656" t="str">
        <f t="shared" si="50"/>
        <v>Normal Usage</v>
      </c>
      <c r="V656" t="str">
        <f t="shared" si="51"/>
        <v>Normal</v>
      </c>
      <c r="W656" t="str">
        <f t="shared" si="52"/>
        <v>Stable</v>
      </c>
      <c r="X656" t="str">
        <f t="shared" si="53"/>
        <v>Low</v>
      </c>
      <c r="Y656">
        <f t="shared" si="54"/>
        <v>120</v>
      </c>
    </row>
    <row r="657" spans="1:25">
      <c r="A657" t="s">
        <v>31</v>
      </c>
      <c r="B657">
        <v>87</v>
      </c>
      <c r="C657">
        <v>415</v>
      </c>
      <c r="D657" t="s">
        <v>21</v>
      </c>
      <c r="E657" t="s">
        <v>21</v>
      </c>
      <c r="F657">
        <v>0</v>
      </c>
      <c r="G657">
        <v>238</v>
      </c>
      <c r="H657">
        <v>97</v>
      </c>
      <c r="I657">
        <v>40.46</v>
      </c>
      <c r="J657">
        <v>164.5</v>
      </c>
      <c r="K657">
        <v>97</v>
      </c>
      <c r="L657">
        <v>13.98</v>
      </c>
      <c r="M657">
        <v>282.5</v>
      </c>
      <c r="N657">
        <v>132</v>
      </c>
      <c r="O657">
        <v>12.71</v>
      </c>
      <c r="P657">
        <v>10.6</v>
      </c>
      <c r="Q657">
        <v>6</v>
      </c>
      <c r="R657">
        <v>2.86</v>
      </c>
      <c r="S657">
        <v>2</v>
      </c>
      <c r="T657" t="b">
        <v>0</v>
      </c>
      <c r="U657" t="str">
        <f t="shared" si="50"/>
        <v>High Usage</v>
      </c>
      <c r="V657" t="str">
        <f t="shared" si="51"/>
        <v>Normal</v>
      </c>
      <c r="W657" t="str">
        <f t="shared" si="52"/>
        <v>Stable</v>
      </c>
      <c r="X657" t="str">
        <f t="shared" si="53"/>
        <v>Low</v>
      </c>
      <c r="Y657">
        <f t="shared" si="54"/>
        <v>87</v>
      </c>
    </row>
    <row r="658" spans="1:25">
      <c r="A658" t="s">
        <v>26</v>
      </c>
      <c r="B658">
        <v>99</v>
      </c>
      <c r="C658">
        <v>510</v>
      </c>
      <c r="D658" t="s">
        <v>21</v>
      </c>
      <c r="E658" t="s">
        <v>21</v>
      </c>
      <c r="F658">
        <v>0</v>
      </c>
      <c r="G658">
        <v>238.4</v>
      </c>
      <c r="H658">
        <v>96</v>
      </c>
      <c r="I658">
        <v>40.53</v>
      </c>
      <c r="J658">
        <v>246.5</v>
      </c>
      <c r="K658">
        <v>130</v>
      </c>
      <c r="L658">
        <v>20.95</v>
      </c>
      <c r="M658">
        <v>198.4</v>
      </c>
      <c r="N658">
        <v>117</v>
      </c>
      <c r="O658">
        <v>8.93</v>
      </c>
      <c r="P658">
        <v>12.4</v>
      </c>
      <c r="Q658">
        <v>4</v>
      </c>
      <c r="R658">
        <v>3.35</v>
      </c>
      <c r="S658">
        <v>3</v>
      </c>
      <c r="T658" t="b">
        <v>0</v>
      </c>
      <c r="U658" t="str">
        <f t="shared" si="50"/>
        <v>High Usage</v>
      </c>
      <c r="V658" t="str">
        <f t="shared" si="51"/>
        <v>Normal</v>
      </c>
      <c r="W658" t="str">
        <f t="shared" si="52"/>
        <v>Stable</v>
      </c>
      <c r="X658" t="str">
        <f t="shared" si="53"/>
        <v>Medium</v>
      </c>
      <c r="Y658">
        <f t="shared" si="54"/>
        <v>99</v>
      </c>
    </row>
    <row r="659" spans="1:25">
      <c r="A659" t="s">
        <v>38</v>
      </c>
      <c r="B659">
        <v>48</v>
      </c>
      <c r="C659">
        <v>415</v>
      </c>
      <c r="D659" t="s">
        <v>21</v>
      </c>
      <c r="E659" t="s">
        <v>27</v>
      </c>
      <c r="F659">
        <v>27</v>
      </c>
      <c r="G659">
        <v>141.1</v>
      </c>
      <c r="H659">
        <v>109</v>
      </c>
      <c r="I659">
        <v>23.99</v>
      </c>
      <c r="J659">
        <v>224.7</v>
      </c>
      <c r="K659">
        <v>94</v>
      </c>
      <c r="L659">
        <v>19.100000000000001</v>
      </c>
      <c r="M659">
        <v>174.3</v>
      </c>
      <c r="N659">
        <v>122</v>
      </c>
      <c r="O659">
        <v>7.84</v>
      </c>
      <c r="P659">
        <v>13.2</v>
      </c>
      <c r="Q659">
        <v>2</v>
      </c>
      <c r="R659">
        <v>3.56</v>
      </c>
      <c r="S659">
        <v>1</v>
      </c>
      <c r="T659" t="b">
        <v>0</v>
      </c>
      <c r="U659" t="str">
        <f t="shared" si="50"/>
        <v>Normal Usage</v>
      </c>
      <c r="V659" t="str">
        <f t="shared" si="51"/>
        <v>Normal</v>
      </c>
      <c r="W659" t="str">
        <f t="shared" si="52"/>
        <v>Stable</v>
      </c>
      <c r="X659" t="str">
        <f t="shared" si="53"/>
        <v>Low</v>
      </c>
      <c r="Y659">
        <f t="shared" si="54"/>
        <v>48</v>
      </c>
    </row>
    <row r="660" spans="1:25">
      <c r="A660" t="s">
        <v>52</v>
      </c>
      <c r="B660">
        <v>57</v>
      </c>
      <c r="C660">
        <v>415</v>
      </c>
      <c r="D660" t="s">
        <v>21</v>
      </c>
      <c r="E660" t="s">
        <v>21</v>
      </c>
      <c r="F660">
        <v>0</v>
      </c>
      <c r="G660">
        <v>158.1</v>
      </c>
      <c r="H660">
        <v>117</v>
      </c>
      <c r="I660">
        <v>26.88</v>
      </c>
      <c r="J660">
        <v>115.2</v>
      </c>
      <c r="K660">
        <v>149</v>
      </c>
      <c r="L660">
        <v>9.7899999999999991</v>
      </c>
      <c r="M660">
        <v>182.4</v>
      </c>
      <c r="N660">
        <v>92</v>
      </c>
      <c r="O660">
        <v>8.2100000000000009</v>
      </c>
      <c r="P660">
        <v>11.8</v>
      </c>
      <c r="Q660">
        <v>7</v>
      </c>
      <c r="R660">
        <v>3.19</v>
      </c>
      <c r="S660">
        <v>0</v>
      </c>
      <c r="T660" t="b">
        <v>0</v>
      </c>
      <c r="U660" t="str">
        <f t="shared" si="50"/>
        <v>Normal Usage</v>
      </c>
      <c r="V660" t="str">
        <f t="shared" si="51"/>
        <v>Normal</v>
      </c>
      <c r="W660" t="str">
        <f t="shared" si="52"/>
        <v>Stable</v>
      </c>
      <c r="X660" t="str">
        <f t="shared" si="53"/>
        <v>Low</v>
      </c>
      <c r="Y660">
        <f t="shared" si="54"/>
        <v>57</v>
      </c>
    </row>
    <row r="661" spans="1:25">
      <c r="A661" t="s">
        <v>39</v>
      </c>
      <c r="B661">
        <v>127</v>
      </c>
      <c r="C661">
        <v>510</v>
      </c>
      <c r="D661" t="s">
        <v>21</v>
      </c>
      <c r="E661" t="s">
        <v>21</v>
      </c>
      <c r="F661">
        <v>0</v>
      </c>
      <c r="G661">
        <v>107.9</v>
      </c>
      <c r="H661">
        <v>128</v>
      </c>
      <c r="I661">
        <v>18.34</v>
      </c>
      <c r="J661">
        <v>187</v>
      </c>
      <c r="K661">
        <v>77</v>
      </c>
      <c r="L661">
        <v>15.9</v>
      </c>
      <c r="M661">
        <v>218.5</v>
      </c>
      <c r="N661">
        <v>95</v>
      </c>
      <c r="O661">
        <v>9.83</v>
      </c>
      <c r="P661">
        <v>0</v>
      </c>
      <c r="Q661">
        <v>0</v>
      </c>
      <c r="R661">
        <v>0</v>
      </c>
      <c r="S661">
        <v>0</v>
      </c>
      <c r="T661" t="b">
        <v>0</v>
      </c>
      <c r="U661" t="str">
        <f t="shared" si="50"/>
        <v>Normal Usage</v>
      </c>
      <c r="V661" t="str">
        <f t="shared" si="51"/>
        <v>Normal</v>
      </c>
      <c r="W661" t="str">
        <f t="shared" si="52"/>
        <v>Stable</v>
      </c>
      <c r="X661" t="str">
        <f t="shared" si="53"/>
        <v>Low</v>
      </c>
      <c r="Y661">
        <f t="shared" si="54"/>
        <v>127</v>
      </c>
    </row>
    <row r="662" spans="1:25">
      <c r="A662" t="s">
        <v>22</v>
      </c>
      <c r="B662">
        <v>114</v>
      </c>
      <c r="C662">
        <v>408</v>
      </c>
      <c r="D662" t="s">
        <v>21</v>
      </c>
      <c r="E662" t="s">
        <v>21</v>
      </c>
      <c r="F662">
        <v>0</v>
      </c>
      <c r="G662">
        <v>203.8</v>
      </c>
      <c r="H662">
        <v>85</v>
      </c>
      <c r="I662">
        <v>34.65</v>
      </c>
      <c r="J662">
        <v>87.8</v>
      </c>
      <c r="K662">
        <v>110</v>
      </c>
      <c r="L662">
        <v>7.46</v>
      </c>
      <c r="M662">
        <v>166.2</v>
      </c>
      <c r="N662">
        <v>122</v>
      </c>
      <c r="O662">
        <v>7.48</v>
      </c>
      <c r="P662">
        <v>11.7</v>
      </c>
      <c r="Q662">
        <v>4</v>
      </c>
      <c r="R662">
        <v>3.16</v>
      </c>
      <c r="S662">
        <v>1</v>
      </c>
      <c r="T662" t="b">
        <v>0</v>
      </c>
      <c r="U662" t="str">
        <f t="shared" si="50"/>
        <v>High Usage</v>
      </c>
      <c r="V662" t="str">
        <f t="shared" si="51"/>
        <v>Normal</v>
      </c>
      <c r="W662" t="str">
        <f t="shared" si="52"/>
        <v>Stable</v>
      </c>
      <c r="X662" t="str">
        <f t="shared" si="53"/>
        <v>Low</v>
      </c>
      <c r="Y662">
        <f t="shared" si="54"/>
        <v>114</v>
      </c>
    </row>
    <row r="663" spans="1:25">
      <c r="A663" t="s">
        <v>39</v>
      </c>
      <c r="B663">
        <v>84</v>
      </c>
      <c r="C663">
        <v>415</v>
      </c>
      <c r="D663" t="s">
        <v>21</v>
      </c>
      <c r="E663" t="s">
        <v>21</v>
      </c>
      <c r="F663">
        <v>0</v>
      </c>
      <c r="G663">
        <v>280</v>
      </c>
      <c r="H663">
        <v>113</v>
      </c>
      <c r="I663">
        <v>47.6</v>
      </c>
      <c r="J663">
        <v>202.2</v>
      </c>
      <c r="K663">
        <v>90</v>
      </c>
      <c r="L663">
        <v>17.190000000000001</v>
      </c>
      <c r="M663">
        <v>156.80000000000001</v>
      </c>
      <c r="N663">
        <v>103</v>
      </c>
      <c r="O663">
        <v>7.06</v>
      </c>
      <c r="P663">
        <v>10.4</v>
      </c>
      <c r="Q663">
        <v>4</v>
      </c>
      <c r="R663">
        <v>2.81</v>
      </c>
      <c r="S663">
        <v>0</v>
      </c>
      <c r="T663" t="b">
        <v>1</v>
      </c>
      <c r="U663" t="str">
        <f t="shared" si="50"/>
        <v>High Usage</v>
      </c>
      <c r="V663" t="str">
        <f t="shared" si="51"/>
        <v>Normal</v>
      </c>
      <c r="W663" t="str">
        <f t="shared" si="52"/>
        <v>Potential Churn</v>
      </c>
      <c r="X663" t="str">
        <f t="shared" si="53"/>
        <v>Low</v>
      </c>
      <c r="Y663">
        <f t="shared" si="54"/>
        <v>84</v>
      </c>
    </row>
    <row r="664" spans="1:25">
      <c r="A664" t="s">
        <v>31</v>
      </c>
      <c r="B664">
        <v>114</v>
      </c>
      <c r="C664">
        <v>415</v>
      </c>
      <c r="D664" t="s">
        <v>21</v>
      </c>
      <c r="E664" t="s">
        <v>27</v>
      </c>
      <c r="F664">
        <v>26</v>
      </c>
      <c r="G664">
        <v>137.1</v>
      </c>
      <c r="H664">
        <v>88</v>
      </c>
      <c r="I664">
        <v>23.31</v>
      </c>
      <c r="J664">
        <v>155.69999999999999</v>
      </c>
      <c r="K664">
        <v>125</v>
      </c>
      <c r="L664">
        <v>13.23</v>
      </c>
      <c r="M664">
        <v>247.6</v>
      </c>
      <c r="N664">
        <v>94</v>
      </c>
      <c r="O664">
        <v>11.14</v>
      </c>
      <c r="P664">
        <v>11.5</v>
      </c>
      <c r="Q664">
        <v>7</v>
      </c>
      <c r="R664">
        <v>3.11</v>
      </c>
      <c r="S664">
        <v>2</v>
      </c>
      <c r="T664" t="b">
        <v>0</v>
      </c>
      <c r="U664" t="str">
        <f t="shared" si="50"/>
        <v>Normal Usage</v>
      </c>
      <c r="V664" t="str">
        <f t="shared" si="51"/>
        <v>Normal</v>
      </c>
      <c r="W664" t="str">
        <f t="shared" si="52"/>
        <v>Stable</v>
      </c>
      <c r="X664" t="str">
        <f t="shared" si="53"/>
        <v>Low</v>
      </c>
      <c r="Y664">
        <f t="shared" si="54"/>
        <v>114</v>
      </c>
    </row>
    <row r="665" spans="1:25">
      <c r="A665" t="s">
        <v>44</v>
      </c>
      <c r="B665">
        <v>106</v>
      </c>
      <c r="C665">
        <v>408</v>
      </c>
      <c r="D665" t="s">
        <v>21</v>
      </c>
      <c r="E665" t="s">
        <v>27</v>
      </c>
      <c r="F665">
        <v>29</v>
      </c>
      <c r="G665">
        <v>83.6</v>
      </c>
      <c r="H665">
        <v>131</v>
      </c>
      <c r="I665">
        <v>14.21</v>
      </c>
      <c r="J665">
        <v>203.9</v>
      </c>
      <c r="K665">
        <v>131</v>
      </c>
      <c r="L665">
        <v>17.329999999999998</v>
      </c>
      <c r="M665">
        <v>229.5</v>
      </c>
      <c r="N665">
        <v>73</v>
      </c>
      <c r="O665">
        <v>10.33</v>
      </c>
      <c r="P665">
        <v>8.1</v>
      </c>
      <c r="Q665">
        <v>3</v>
      </c>
      <c r="R665">
        <v>2.19</v>
      </c>
      <c r="S665">
        <v>1</v>
      </c>
      <c r="T665" t="b">
        <v>0</v>
      </c>
      <c r="U665" t="str">
        <f t="shared" si="50"/>
        <v>Normal Usage</v>
      </c>
      <c r="V665" t="str">
        <f t="shared" si="51"/>
        <v>Normal</v>
      </c>
      <c r="W665" t="str">
        <f t="shared" si="52"/>
        <v>Stable</v>
      </c>
      <c r="X665" t="str">
        <f t="shared" si="53"/>
        <v>Low</v>
      </c>
      <c r="Y665">
        <f t="shared" si="54"/>
        <v>106</v>
      </c>
    </row>
    <row r="666" spans="1:25">
      <c r="A666" t="s">
        <v>33</v>
      </c>
      <c r="B666">
        <v>60</v>
      </c>
      <c r="C666">
        <v>415</v>
      </c>
      <c r="D666" t="s">
        <v>21</v>
      </c>
      <c r="E666" t="s">
        <v>21</v>
      </c>
      <c r="F666">
        <v>0</v>
      </c>
      <c r="G666">
        <v>193.9</v>
      </c>
      <c r="H666">
        <v>118</v>
      </c>
      <c r="I666">
        <v>32.96</v>
      </c>
      <c r="J666">
        <v>85</v>
      </c>
      <c r="K666">
        <v>110</v>
      </c>
      <c r="L666">
        <v>7.23</v>
      </c>
      <c r="M666">
        <v>210.1</v>
      </c>
      <c r="N666">
        <v>134</v>
      </c>
      <c r="O666">
        <v>9.4499999999999993</v>
      </c>
      <c r="P666">
        <v>13.2</v>
      </c>
      <c r="Q666">
        <v>8</v>
      </c>
      <c r="R666">
        <v>3.56</v>
      </c>
      <c r="S666">
        <v>3</v>
      </c>
      <c r="T666" t="b">
        <v>0</v>
      </c>
      <c r="U666" t="str">
        <f t="shared" si="50"/>
        <v>Normal Usage</v>
      </c>
      <c r="V666" t="str">
        <f t="shared" si="51"/>
        <v>Normal</v>
      </c>
      <c r="W666" t="str">
        <f t="shared" si="52"/>
        <v>Stable</v>
      </c>
      <c r="X666" t="str">
        <f t="shared" si="53"/>
        <v>Medium</v>
      </c>
      <c r="Y666">
        <f t="shared" si="54"/>
        <v>60</v>
      </c>
    </row>
    <row r="667" spans="1:25">
      <c r="A667" t="s">
        <v>66</v>
      </c>
      <c r="B667">
        <v>159</v>
      </c>
      <c r="C667">
        <v>415</v>
      </c>
      <c r="D667" t="s">
        <v>21</v>
      </c>
      <c r="E667" t="s">
        <v>21</v>
      </c>
      <c r="F667">
        <v>0</v>
      </c>
      <c r="G667">
        <v>169.8</v>
      </c>
      <c r="H667">
        <v>114</v>
      </c>
      <c r="I667">
        <v>28.87</v>
      </c>
      <c r="J667">
        <v>197.7</v>
      </c>
      <c r="K667">
        <v>105</v>
      </c>
      <c r="L667">
        <v>16.8</v>
      </c>
      <c r="M667">
        <v>193.7</v>
      </c>
      <c r="N667">
        <v>82</v>
      </c>
      <c r="O667">
        <v>8.7200000000000006</v>
      </c>
      <c r="P667">
        <v>11.6</v>
      </c>
      <c r="Q667">
        <v>4</v>
      </c>
      <c r="R667">
        <v>3.13</v>
      </c>
      <c r="S667">
        <v>1</v>
      </c>
      <c r="T667" t="b">
        <v>0</v>
      </c>
      <c r="U667" t="str">
        <f t="shared" si="50"/>
        <v>Normal Usage</v>
      </c>
      <c r="V667" t="str">
        <f t="shared" si="51"/>
        <v>Normal</v>
      </c>
      <c r="W667" t="str">
        <f t="shared" si="52"/>
        <v>Stable</v>
      </c>
      <c r="X667" t="str">
        <f t="shared" si="53"/>
        <v>Low</v>
      </c>
      <c r="Y667">
        <f t="shared" si="54"/>
        <v>159</v>
      </c>
    </row>
    <row r="668" spans="1:25">
      <c r="A668" t="s">
        <v>56</v>
      </c>
      <c r="B668">
        <v>184</v>
      </c>
      <c r="C668">
        <v>510</v>
      </c>
      <c r="D668" t="s">
        <v>27</v>
      </c>
      <c r="E668" t="s">
        <v>21</v>
      </c>
      <c r="F668">
        <v>0</v>
      </c>
      <c r="G668">
        <v>213.8</v>
      </c>
      <c r="H668">
        <v>105</v>
      </c>
      <c r="I668">
        <v>36.35</v>
      </c>
      <c r="J668">
        <v>159.6</v>
      </c>
      <c r="K668">
        <v>84</v>
      </c>
      <c r="L668">
        <v>13.57</v>
      </c>
      <c r="M668">
        <v>139.19999999999999</v>
      </c>
      <c r="N668">
        <v>137</v>
      </c>
      <c r="O668">
        <v>6.26</v>
      </c>
      <c r="P668">
        <v>5</v>
      </c>
      <c r="Q668">
        <v>10</v>
      </c>
      <c r="R668">
        <v>1.35</v>
      </c>
      <c r="S668">
        <v>2</v>
      </c>
      <c r="T668" t="b">
        <v>0</v>
      </c>
      <c r="U668" t="str">
        <f t="shared" si="50"/>
        <v>High Usage</v>
      </c>
      <c r="V668" t="str">
        <f t="shared" si="51"/>
        <v>Normal</v>
      </c>
      <c r="W668" t="str">
        <f t="shared" si="52"/>
        <v>Stable</v>
      </c>
      <c r="X668" t="str">
        <f t="shared" si="53"/>
        <v>Low</v>
      </c>
      <c r="Y668">
        <f t="shared" si="54"/>
        <v>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4"/>
  <sheetViews>
    <sheetView workbookViewId="0">
      <selection activeCell="B3" sqref="B3"/>
    </sheetView>
  </sheetViews>
  <sheetFormatPr defaultRowHeight="14.45"/>
  <cols>
    <col min="1" max="1" width="18" customWidth="1"/>
  </cols>
  <sheetData>
    <row r="2" spans="1:2">
      <c r="A2" s="3" t="s">
        <v>78</v>
      </c>
      <c r="B2">
        <f>SUM(churn_bigml_20[Total day minutes])</f>
        <v>8582.5</v>
      </c>
    </row>
    <row r="3" spans="1:2">
      <c r="A3" s="3" t="s">
        <v>79</v>
      </c>
      <c r="B3">
        <f>AVERAGE('Power Query'!G26:G52)</f>
        <v>170.38888888888889</v>
      </c>
    </row>
    <row r="4" spans="1:2">
      <c r="A4" s="3" t="s">
        <v>80</v>
      </c>
      <c r="B4">
        <f>COUNTA(churn_bigml_20[State])</f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B2" sqref="B2"/>
    </sheetView>
  </sheetViews>
  <sheetFormatPr defaultRowHeight="14.45"/>
  <cols>
    <col min="3" max="3" width="10.7109375" customWidth="1"/>
  </cols>
  <sheetData>
    <row r="1" spans="1:3">
      <c r="A1" s="3" t="s">
        <v>81</v>
      </c>
      <c r="B1" s="3" t="s">
        <v>82</v>
      </c>
      <c r="C1" s="3" t="s">
        <v>83</v>
      </c>
    </row>
    <row r="2" spans="1:3">
      <c r="A2">
        <v>0.4</v>
      </c>
      <c r="B2">
        <f>SUM(Raw_Data!G2:G1000)*A2</f>
        <v>48276.960000000021</v>
      </c>
      <c r="C2" t="s">
        <v>84</v>
      </c>
    </row>
    <row r="3" spans="1:3">
      <c r="A3">
        <v>0.57998680944284786</v>
      </c>
      <c r="B3">
        <f>SUM(Raw_Data!G2:G1000)*A3</f>
        <v>70000</v>
      </c>
      <c r="C3" t="s">
        <v>85</v>
      </c>
    </row>
    <row r="4" spans="1:3">
      <c r="A4">
        <v>0.6</v>
      </c>
      <c r="B4">
        <f>SUM(Raw_Data!G2:G1000)*A4</f>
        <v>72415.440000000031</v>
      </c>
      <c r="C4" t="s">
        <v>86</v>
      </c>
    </row>
  </sheetData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690E4F9-2169-4DF5-8DF6-F1AFC63211BB}"/>
</file>

<file path=customXml/itemProps2.xml><?xml version="1.0" encoding="utf-8"?>
<ds:datastoreItem xmlns:ds="http://schemas.openxmlformats.org/officeDocument/2006/customXml" ds:itemID="{79FFFEA9-787D-4E8F-B235-330B5F38234A}"/>
</file>

<file path=customXml/itemProps3.xml><?xml version="1.0" encoding="utf-8"?>
<ds:datastoreItem xmlns:ds="http://schemas.openxmlformats.org/officeDocument/2006/customXml" ds:itemID="{BFFF789B-96DF-4B24-A4F3-234A7E40ECBD}"/>
</file>

<file path=customXml/itemProps4.xml><?xml version="1.0" encoding="utf-8"?>
<ds:datastoreItem xmlns:ds="http://schemas.openxmlformats.org/officeDocument/2006/customXml" ds:itemID="{A8663E2F-869C-42BD-BA0F-F766F6A15250}"/>
</file>

<file path=customXml/itemProps5.xml><?xml version="1.0" encoding="utf-8"?>
<ds:datastoreItem xmlns:ds="http://schemas.openxmlformats.org/officeDocument/2006/customXml" ds:itemID="{912619E9-13F6-4E3D-98D6-EA177B042E6F}"/>
</file>

<file path=customXml/itemProps6.xml><?xml version="1.0" encoding="utf-8"?>
<ds:datastoreItem xmlns:ds="http://schemas.openxmlformats.org/officeDocument/2006/customXml" ds:itemID="{B0E436B1-AB4D-43B3-B7D0-675BC1DB2F92}"/>
</file>

<file path=customXml/itemProps7.xml><?xml version="1.0" encoding="utf-8"?>
<ds:datastoreItem xmlns:ds="http://schemas.openxmlformats.org/officeDocument/2006/customXml" ds:itemID="{44F56D9F-5389-4BFA-84A0-6C65E8A219B5}"/>
</file>

<file path=customXml/itemProps8.xml><?xml version="1.0" encoding="utf-8"?>
<ds:datastoreItem xmlns:ds="http://schemas.openxmlformats.org/officeDocument/2006/customXml" ds:itemID="{9D7E90D3-287B-4543-BA81-88D36A7B0F74}"/>
</file>

<file path=customXml/itemProps9.xml><?xml version="1.0" encoding="utf-8"?>
<ds:datastoreItem xmlns:ds="http://schemas.openxmlformats.org/officeDocument/2006/customXml" ds:itemID="{008A9FAA-6B25-4C38-9E21-A3721B99E69B}"/>
</file>

<file path=customXml/itemProps10.xml><?xml version="1.0" encoding="utf-8"?>
<ds:datastoreItem xmlns:ds="http://schemas.openxmlformats.org/officeDocument/2006/customXml" ds:itemID="{2D670A19-14C5-4E02-BC37-2CAE7F8B638C}"/>
</file>

<file path=customXml/itemProps11.xml><?xml version="1.0" encoding="utf-8"?>
<ds:datastoreItem xmlns:ds="http://schemas.openxmlformats.org/officeDocument/2006/customXml" ds:itemID="{31799BCC-B452-44E2-91AF-F56D4F320A14}"/>
</file>

<file path=customXml/itemProps12.xml><?xml version="1.0" encoding="utf-8"?>
<ds:datastoreItem xmlns:ds="http://schemas.openxmlformats.org/officeDocument/2006/customXml" ds:itemID="{D1CB92D7-95D6-426E-94CC-A8E7675BAA38}"/>
</file>

<file path=customXml/itemProps13.xml><?xml version="1.0" encoding="utf-8"?>
<ds:datastoreItem xmlns:ds="http://schemas.openxmlformats.org/officeDocument/2006/customXml" ds:itemID="{590E8394-C0F0-4498-9401-E931041E2F39}"/>
</file>

<file path=customXml/itemProps14.xml><?xml version="1.0" encoding="utf-8"?>
<ds:datastoreItem xmlns:ds="http://schemas.openxmlformats.org/officeDocument/2006/customXml" ds:itemID="{F9CF1006-3D13-41A9-AB13-3C7A911C316F}"/>
</file>

<file path=customXml/itemProps15.xml><?xml version="1.0" encoding="utf-8"?>
<ds:datastoreItem xmlns:ds="http://schemas.openxmlformats.org/officeDocument/2006/customXml" ds:itemID="{5CAC8A14-DF1D-4487-9A8E-D651A970C558}"/>
</file>

<file path=customXml/itemProps16.xml><?xml version="1.0" encoding="utf-8"?>
<ds:datastoreItem xmlns:ds="http://schemas.openxmlformats.org/officeDocument/2006/customXml" ds:itemID="{200E60FA-0B42-487F-A6C8-8D3C9B06448C}"/>
</file>

<file path=customXml/itemProps17.xml><?xml version="1.0" encoding="utf-8"?>
<ds:datastoreItem xmlns:ds="http://schemas.openxmlformats.org/officeDocument/2006/customXml" ds:itemID="{5EE26991-A035-4CAC-996C-52FDC045D285}"/>
</file>

<file path=customXml/itemProps18.xml><?xml version="1.0" encoding="utf-8"?>
<ds:datastoreItem xmlns:ds="http://schemas.openxmlformats.org/officeDocument/2006/customXml" ds:itemID="{89CA8B67-E425-4F56-9FD6-6E488E818996}"/>
</file>

<file path=customXml/itemProps19.xml><?xml version="1.0" encoding="utf-8"?>
<ds:datastoreItem xmlns:ds="http://schemas.openxmlformats.org/officeDocument/2006/customXml" ds:itemID="{7374212C-6D1E-42B5-B94B-58C2B903C510}"/>
</file>

<file path=customXml/itemProps20.xml><?xml version="1.0" encoding="utf-8"?>
<ds:datastoreItem xmlns:ds="http://schemas.openxmlformats.org/officeDocument/2006/customXml" ds:itemID="{8731D029-D0D1-4D9A-8BF3-A76AFE444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2026-03-21T15:32:45Z</dcterms:created>
  <dcterms:modified xsi:type="dcterms:W3CDTF">2026-04-05T12:44:20Z</dcterms:modified>
  <cp:category/>
  <cp:contentStatus/>
</cp:coreProperties>
</file>